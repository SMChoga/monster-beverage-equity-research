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commentsmeta4"/>
  <Override ContentType="application/binary" PartName="/xl/commentsmeta2"/>
  <Override ContentType="application/binary" PartName="/xl/metadata"/>
  <Override ContentType="application/binary" PartName="/xl/commentsmeta3"/>
  <Override ContentType="application/binary" PartName="/xl/commentsmeta0"/>
  <Override ContentType="application/binary" PartName="/xl/commentsmeta1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ink" sheetId="1" r:id="rId4"/>
    <sheet state="visible" name="I.S" sheetId="2" r:id="rId5"/>
    <sheet state="visible" name="C.S" sheetId="3" r:id="rId6"/>
    <sheet state="visible" name="B.S" sheetId="4" r:id="rId7"/>
    <sheet state="visible" name="&gt;&gt;Valuation" sheetId="5" r:id="rId8"/>
    <sheet state="visible" name="Working Capital Schedule" sheetId="6" r:id="rId9"/>
    <sheet state="visible" name="Depreciation Schedule" sheetId="7" r:id="rId10"/>
    <sheet state="visible" name="Debt Schedule" sheetId="8" r:id="rId11"/>
  </sheets>
  <definedNames/>
  <calcPr/>
  <extLst>
    <ext uri="GoogleSheetsCustomDataVersion2">
      <go:sheetsCustomData xmlns:go="http://customooxmlschemas.google.com/" r:id="rId12" roundtripDataChecksum="V8wwB0WVePLVbvNioj94Ag9Lpw8l922dSQv2pqHJQo0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6">
      <text>
        <t xml:space="preserve">======
ID#AAACAVEImRU
acer    (2026-08-25 14:29:45)
Find Depreciation</t>
      </text>
    </comment>
    <comment authorId="0" ref="N10">
      <text>
        <t xml:space="preserve">======
ID#AAACAVEImRI
Simba Choga    (2026-08-25 14:29:45)
Advertising CAGR</t>
      </text>
    </comment>
    <comment authorId="0" ref="G3">
      <text>
        <t xml:space="preserve">======
ID#AAACAVEImQw
Simba Choga    (2026-08-25 14:29:45)
Based in analysts on wall street
Fool.com/Parkev</t>
      </text>
    </comment>
    <comment authorId="0" ref="H3">
      <text>
        <t xml:space="preserve">======
ID#AAACAVEImRE
Simba Choga    (2026-08-25 14:29:45)
Based in analysts on wall street
Fool.com/Parkev</t>
      </text>
    </comment>
    <comment authorId="0" ref="I3">
      <text>
        <t xml:space="preserve">======
ID#AAACAVEImRs
Simba Choga    (2026-08-25 14:29:45)
Based in analysts on wall street
Fool.com/Parkev</t>
      </text>
    </comment>
    <comment authorId="0" ref="J3">
      <text>
        <t xml:space="preserve">======
ID#AAACAVEImRw
Simba Choga    (2026-08-25 14:29:45)
Based the next two growth rates on the 2025 presentation.
https://investors.monsterbevcorp.com/events-and-presentations</t>
      </text>
    </comment>
    <comment authorId="0" ref="A9">
      <text>
        <t xml:space="preserve">======
ID#AAACAVEImQs
Simba Choga    (2026-08-25 14:29:45)
Page 92 2023 for further breakdown.
&amp;
Page 81 2025 for further breakdown.</t>
      </text>
    </comment>
    <comment authorId="0" ref="G30">
      <text>
        <t xml:space="preserve">======
ID#AAACAVEImRM
Simba Choga    (2026-08-25 14:29:45)
Corporate Tax Rate 21%</t>
      </text>
    </comment>
    <comment authorId="0" ref="N1">
      <text>
        <t xml:space="preserve">======
ID#AAACAVEImRg
Simba Choga    (2026-08-25 14:29:45)
Revenue CAGR</t>
      </text>
    </comment>
    <comment authorId="0" ref="A20">
      <text>
        <t xml:space="preserve">======
ID#AAACAVEImQo
Simba Choga    (2026-08-25 14:29:45)
Page 106 - 2023 document
Page 90 -2025 document</t>
      </text>
    </comment>
  </commentList>
  <extLst>
    <ext uri="GoogleSheetsCustomDataVersion2">
      <go:sheetsCustomData xmlns:go="http://customooxmlschemas.google.com/" r:id="rId1" roundtripDataSignature="AMtx7mi2a2F+0fY/YvBoJRdOl6BUMVdI4A=="/>
    </ext>
  </extL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35">
      <text>
        <t xml:space="preserve">======
ID#AAACAVEImQ8
Simba Choga    (2026-08-25 14:29:45)
More conservative approach on capex spending</t>
      </text>
    </comment>
    <comment authorId="0" ref="G31">
      <text>
        <t xml:space="preserve">======
ID#AAACAVEImQ4
Simba Choga    (2026-08-25 14:29:45)
Choosing a more conservative approach</t>
      </text>
    </comment>
  </commentList>
  <extLst>
    <ext uri="GoogleSheetsCustomDataVersion2">
      <go:sheetsCustomData xmlns:go="http://customooxmlschemas.google.com/" r:id="rId1" roundtripDataSignature="AMtx7mj2DJmkOoKySVP6XxXK7YXZSSY2Rw=="/>
    </ext>
  </extL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23">
      <text>
        <t xml:space="preserve">======
ID#AAACAVEImRQ
acer    (2026-08-25 14:29:45)
Total Debt + Non controlling interest + Redeemable noncontrolling interest - Cash</t>
      </text>
    </comment>
    <comment authorId="0" ref="J21">
      <text>
        <t xml:space="preserve">======
ID#AAACAVEImRc
Simba Choga    (2026-08-25 14:29:45)
Yahoo Finance: 0.53 (5yr)
Bloomberg:</t>
      </text>
    </comment>
    <comment authorId="0" ref="J20">
      <text>
        <t xml:space="preserve">======
ID#AAACAVEImRo
Simba Choga    (2026-08-25 14:29:45)
https://pages.stern.nyu.edu/~adamodar/
- Data
- Current data
- Risk/Discount Rate
Go to discount rate estimation 
- Risk premiums for other markets</t>
      </text>
    </comment>
    <comment authorId="0" ref="J19">
      <text>
        <t xml:space="preserve">======
ID#AAACAVEImRY
Simba Choga    (2026-08-25 14:29:45)
Link: https://home.treasury.gov/resource-center/data-chart-center/interest-rates/TextView?type=daily_treasury_yield_curve&amp;field_tdr_date_value=2025
30yr bond yield</t>
      </text>
    </comment>
  </commentList>
  <extLst>
    <ext uri="GoogleSheetsCustomDataVersion2">
      <go:sheetsCustomData xmlns:go="http://customooxmlschemas.google.com/" r:id="rId1" roundtripDataSignature="AMtx7mhh3WNVOE8zt9YlLDn5SVHV3wP/CQ=="/>
    </ext>
  </extL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I23">
      <text>
        <t xml:space="preserve">======
ID#AAACAVEImQ0
Simba Choga    (2026-08-25 14:29:45)
MACRS (Modified Accelerated Cost Recovery System) - USA - 2025
Page 87
This method would be useful for deferred taxes purposes. Show significant or higher depreciation - lower EBIT therefore less profts to tax and more cash on hand. However, more taxes would be paid in the future, as depreciation is less.</t>
      </text>
    </comment>
  </commentList>
  <extLst>
    <ext uri="GoogleSheetsCustomDataVersion2">
      <go:sheetsCustomData xmlns:go="http://customooxmlschemas.google.com/" r:id="rId1" roundtripDataSignature="AMtx7mjoUtIP4ejzxIIsbV18CpnMqyXGPg=="/>
    </ext>
  </extL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31">
      <text>
        <t xml:space="preserve">======
ID#AAACAVEImRk
Simba Choga    (2026-08-25 14:29:45)
Use CHTGPT. Interest on cash - it is supposed to be 3.5 but you took a more conservative approach</t>
      </text>
    </comment>
    <comment authorId="0" ref="G8">
      <text>
        <t xml:space="preserve">======
ID#AAACAVEImRA
Simba Choga    (2026-08-25 14:29:45)
They kept at least $1m so that is my minimum cash cushion</t>
      </text>
    </comment>
  </commentList>
  <extLst>
    <ext uri="GoogleSheetsCustomDataVersion2">
      <go:sheetsCustomData xmlns:go="http://customooxmlschemas.google.com/" r:id="rId1" roundtripDataSignature="AMtx7mgdexMVAh82zwIYuF9ZqroQay8bXg=="/>
    </ext>
  </extLst>
</comments>
</file>

<file path=xl/sharedStrings.xml><?xml version="1.0" encoding="utf-8"?>
<sst xmlns="http://schemas.openxmlformats.org/spreadsheetml/2006/main" count="272" uniqueCount="215">
  <si>
    <t>($'000)</t>
  </si>
  <si>
    <t>https://investors.monsterbevcorp.com/financial-information/sec-filings?field_nir_sec_form_group_target_id%5B%5D=471&amp;field_nir_sec_date_filed_value=&amp;filter_type=&amp;relative_date_range_after=&amp;relative_date_range_before=&amp;exact_date_range_after=&amp;exact_date_range_before=#views-exposed-form-widget-sec-filings-table#views-exposed-form-widget-sec-filings-table</t>
  </si>
  <si>
    <t>($'000, except for earnings per share)</t>
  </si>
  <si>
    <t>OPERATING ACTIVITIES</t>
  </si>
  <si>
    <t>Assets</t>
  </si>
  <si>
    <t>Net income</t>
  </si>
  <si>
    <t>Cash and cash equivalents</t>
  </si>
  <si>
    <t>4yr</t>
  </si>
  <si>
    <t>Revenue</t>
  </si>
  <si>
    <t>Depreciation and amortization</t>
  </si>
  <si>
    <t>Short-term investments</t>
  </si>
  <si>
    <t>% Growth</t>
  </si>
  <si>
    <t>Non-cash lease expense</t>
  </si>
  <si>
    <t>Accounts receivable, net</t>
  </si>
  <si>
    <t>Cost of sales</t>
  </si>
  <si>
    <t>% growth</t>
  </si>
  <si>
    <t>% of Revenue</t>
  </si>
  <si>
    <t>Inventories</t>
  </si>
  <si>
    <t>Loss (gain) on disposal of property and equipment</t>
  </si>
  <si>
    <t>Gain on Bang Transaction</t>
  </si>
  <si>
    <t>—</t>
  </si>
  <si>
    <t>Loss on impairment of intangibles</t>
  </si>
  <si>
    <t>Prepaid expenses and other current assets</t>
  </si>
  <si>
    <t>Loss on impairment of property and equipment</t>
  </si>
  <si>
    <t>Gross margin</t>
  </si>
  <si>
    <t>Stock-based compensation</t>
  </si>
  <si>
    <t>Prepaid income taxes</t>
  </si>
  <si>
    <t>Total current assets</t>
  </si>
  <si>
    <t>% of operating expenses</t>
  </si>
  <si>
    <t>Unlevered Free Cash Flow</t>
  </si>
  <si>
    <t>EBIT</t>
  </si>
  <si>
    <t>Long-Term Assets</t>
  </si>
  <si>
    <t>INVESTMENTS</t>
  </si>
  <si>
    <t>Depreciation &amp; Amortization</t>
  </si>
  <si>
    <t>PROPERTY AND EQUIPMENT, net</t>
  </si>
  <si>
    <t>Deferred income taxes</t>
  </si>
  <si>
    <t>Changes in Capital</t>
  </si>
  <si>
    <t>Freight-Out Costs</t>
  </si>
  <si>
    <t>Capital Expenditure</t>
  </si>
  <si>
    <t>Taxes</t>
  </si>
  <si>
    <r>
      <rPr>
        <rFont val="Calibri"/>
        <color theme="1"/>
        <sz val="11.0"/>
      </rPr>
      <t>Other liabilities (</t>
    </r>
    <r>
      <rPr>
        <rFont val="Calibri"/>
        <color rgb="FFC55A11"/>
        <sz val="11.0"/>
      </rPr>
      <t>moved from operating assets</t>
    </r>
    <r>
      <rPr>
        <rFont val="Calibri"/>
        <color theme="1"/>
        <sz val="11.0"/>
      </rPr>
      <t>)</t>
    </r>
  </si>
  <si>
    <t>Total Unlevered Free Cash Flow</t>
  </si>
  <si>
    <t>Changes in operating assets and liabilities:</t>
  </si>
  <si>
    <t>Accounts receivable</t>
  </si>
  <si>
    <t>DEFERRED INCOME TAXES, net</t>
  </si>
  <si>
    <t>Net Present Value Calculation</t>
  </si>
  <si>
    <t>Period</t>
  </si>
  <si>
    <t>Discounted Cash Flow</t>
  </si>
  <si>
    <t>Total Net Present Value</t>
  </si>
  <si>
    <t>GOODWILL</t>
  </si>
  <si>
    <t>Terminal Value</t>
  </si>
  <si>
    <t>EBITDA Method</t>
  </si>
  <si>
    <t>Advertising and Promotional Expenses</t>
  </si>
  <si>
    <t>Cost of Capital</t>
  </si>
  <si>
    <t>Exit Year EBITDA</t>
  </si>
  <si>
    <t>OTHER INTANGIBLE ASSETS, net</t>
  </si>
  <si>
    <t>Risk Free Rate</t>
  </si>
  <si>
    <t>Debt YE 2019</t>
  </si>
  <si>
    <t>Prepaid expenses and other assets</t>
  </si>
  <si>
    <t>Multiple</t>
  </si>
  <si>
    <t>OTHER ASSETS</t>
  </si>
  <si>
    <t>Market Risk Premium</t>
  </si>
  <si>
    <t>Stock Price</t>
  </si>
  <si>
    <t>Total Long Term Assets</t>
  </si>
  <si>
    <t>Beta</t>
  </si>
  <si>
    <t>Shares Outstanding</t>
  </si>
  <si>
    <t>Net Present Value</t>
  </si>
  <si>
    <t>Total Assets</t>
  </si>
  <si>
    <t xml:space="preserve">Cost of Equity </t>
  </si>
  <si>
    <t>Other expenses</t>
  </si>
  <si>
    <t>Equity Value</t>
  </si>
  <si>
    <t>Perpetuity Method</t>
  </si>
  <si>
    <t>Cost of Debt</t>
  </si>
  <si>
    <t>Net Debt</t>
  </si>
  <si>
    <t>Current Liabilities</t>
  </si>
  <si>
    <t>Accounts payable</t>
  </si>
  <si>
    <t>Growth Rate</t>
  </si>
  <si>
    <t>WACC</t>
  </si>
  <si>
    <t>Enterprise Value</t>
  </si>
  <si>
    <t>Accrued liabilities</t>
  </si>
  <si>
    <t>Total Operating Costs</t>
  </si>
  <si>
    <t>Discounted Cash Flow Total Valuable</t>
  </si>
  <si>
    <t>Total of Present Value of Cash Flows</t>
  </si>
  <si>
    <t>Accrued promotional allowances</t>
  </si>
  <si>
    <t>Present Value of Terminal Value</t>
  </si>
  <si>
    <t>Total Enterprise Value</t>
  </si>
  <si>
    <t>Deferred revenue</t>
  </si>
  <si>
    <t>Net Debt Non-controlling interests, preferred securities</t>
  </si>
  <si>
    <t>EBITDA</t>
  </si>
  <si>
    <t>Share Count (millions)</t>
  </si>
  <si>
    <t>Accrued compensation</t>
  </si>
  <si>
    <t>Estimated Equity Value per Share</t>
  </si>
  <si>
    <t>EBITDA Equity Value</t>
  </si>
  <si>
    <t>Income taxes payable</t>
  </si>
  <si>
    <t>Payments on short term debt</t>
  </si>
  <si>
    <t>Depreciation</t>
  </si>
  <si>
    <t>Current liabilities</t>
  </si>
  <si>
    <t>Perpetuity Equity Value</t>
  </si>
  <si>
    <t>Long-Term Liabilities</t>
  </si>
  <si>
    <t>OTHER LIABILITIES</t>
  </si>
  <si>
    <t>Amortization</t>
  </si>
  <si>
    <t>Net working capital</t>
  </si>
  <si>
    <t>LONG-TERM DEBT</t>
  </si>
  <si>
    <t>Cash from operations before changes in working capital</t>
  </si>
  <si>
    <t>Non‑current liabilities</t>
  </si>
  <si>
    <t>Total Liabilities</t>
  </si>
  <si>
    <t>Liabilities and equity</t>
  </si>
  <si>
    <t>Common Stock</t>
  </si>
  <si>
    <t>INVESTING ACTIVITIES</t>
  </si>
  <si>
    <r>
      <rPr>
        <rFont val="Calibri"/>
        <color theme="1"/>
        <sz val="11.0"/>
      </rPr>
      <t xml:space="preserve">Sales of available-for-sale investments + Purchases of available-for-sale investments </t>
    </r>
    <r>
      <rPr>
        <rFont val="Calibri"/>
        <color rgb="FFC55A11"/>
        <sz val="11.0"/>
      </rPr>
      <t>(combine)</t>
    </r>
  </si>
  <si>
    <t>Acquisition of Bang Energy</t>
  </si>
  <si>
    <t>Additional paid-in capital</t>
  </si>
  <si>
    <t>Acquisition of CANarchy, net of cash</t>
  </si>
  <si>
    <t>Retained earnings</t>
  </si>
  <si>
    <t>Purchases of property and equipment</t>
  </si>
  <si>
    <t>Accumulated other comprehensive loss</t>
  </si>
  <si>
    <t>INTEREST AND OTHER INCOME (EXPENSE), NET</t>
  </si>
  <si>
    <t>Common Stock in Treasury</t>
  </si>
  <si>
    <t>Proceeds from sale of property and equipment</t>
  </si>
  <si>
    <t>Total stockholders’ equity</t>
  </si>
  <si>
    <t>Additions to intangibles</t>
  </si>
  <si>
    <t>Increase in other assets</t>
  </si>
  <si>
    <t>Total Liabilities and Stockholders’ Equity</t>
  </si>
  <si>
    <t>INCOME BEFORE PROVISION FOR INCOME TAXES</t>
  </si>
  <si>
    <t>Net cash used in investing activities</t>
  </si>
  <si>
    <t>FINANCING ACTIVITIES</t>
  </si>
  <si>
    <t>Payments on short-term debt</t>
  </si>
  <si>
    <t>PROVISION FOR INCOME TAXES</t>
  </si>
  <si>
    <r>
      <rPr>
        <rFont val="Calibri"/>
        <color theme="1"/>
        <sz val="11.0"/>
      </rPr>
      <t xml:space="preserve">Borrowings + Payments on credit facilities </t>
    </r>
    <r>
      <rPr>
        <rFont val="Calibri"/>
        <color rgb="FFC55A11"/>
        <sz val="11.0"/>
      </rPr>
      <t>(combined)</t>
    </r>
  </si>
  <si>
    <t>Tax Rate</t>
  </si>
  <si>
    <t xml:space="preserve">Payments for debt issuance costs </t>
  </si>
  <si>
    <t>NET INCOME</t>
  </si>
  <si>
    <t xml:space="preserve">Issuance of common stock </t>
  </si>
  <si>
    <t>Purchases of common stock held in treasury</t>
  </si>
  <si>
    <t>Net cash (used in) provided by financing activities</t>
  </si>
  <si>
    <t>EFFECT OF EXCHANGE RATE CHANGES</t>
  </si>
  <si>
    <t>Basic</t>
  </si>
  <si>
    <t>NET INCREASE/(DECREASE) IN CASH AND CASH EQUIVALENTS (I+II+III+IV)</t>
  </si>
  <si>
    <t>Diluted</t>
  </si>
  <si>
    <t>CASH AND CASH EQUIVALENTS AT BEGINNING OF PERIOD</t>
  </si>
  <si>
    <t>CASH AND CASH EQUIVALENTS AT END OF PERIOD</t>
  </si>
  <si>
    <t>Operating Working Capital</t>
  </si>
  <si>
    <t>SUPPLEMENTAL INFORMATION:</t>
  </si>
  <si>
    <t>Cash paid during the year for:</t>
  </si>
  <si>
    <t>DCF (30/09/2025)</t>
  </si>
  <si>
    <t>Interest</t>
  </si>
  <si>
    <t>SUPPLEMENTARY DATA</t>
  </si>
  <si>
    <t>Cash Flow before debt paydown</t>
  </si>
  <si>
    <t xml:space="preserve">Accounts Recievable </t>
  </si>
  <si>
    <t>Accounts Recievable Collection Period</t>
  </si>
  <si>
    <t xml:space="preserve">Depreciation Schedule </t>
  </si>
  <si>
    <t>Historical</t>
  </si>
  <si>
    <t xml:space="preserve">Inventory </t>
  </si>
  <si>
    <t>Projections</t>
  </si>
  <si>
    <t>Period Ending September</t>
  </si>
  <si>
    <t>Inventory Processing Period</t>
  </si>
  <si>
    <t>PP&amp;E in Jan</t>
  </si>
  <si>
    <t>Prepaid Expenses and Other Assets Processing Period</t>
  </si>
  <si>
    <t>Straight line Depreciation Years</t>
  </si>
  <si>
    <t>Years:</t>
  </si>
  <si>
    <t>Property, plant and equipment</t>
  </si>
  <si>
    <t>CAPEX</t>
  </si>
  <si>
    <t>Existing PP &amp;E</t>
  </si>
  <si>
    <t>Prepaid Income Taxes Processing Period</t>
  </si>
  <si>
    <t>2026E CAPEX</t>
  </si>
  <si>
    <t>2027E CAPEX</t>
  </si>
  <si>
    <t>Current Assets</t>
  </si>
  <si>
    <t>2028E CAPEX</t>
  </si>
  <si>
    <t>Accounts Payable</t>
  </si>
  <si>
    <t>2029E CAPEX</t>
  </si>
  <si>
    <t>2030E CAPEX</t>
  </si>
  <si>
    <t>Total book depreciation</t>
  </si>
  <si>
    <t>Accounts Payable - Payable Period</t>
  </si>
  <si>
    <t>Accrued Liabilities</t>
  </si>
  <si>
    <t>Accrued Liabilities Days</t>
  </si>
  <si>
    <t>Accelerated Depreciation (%)</t>
  </si>
  <si>
    <t>Accrued Promotion Alllowances</t>
  </si>
  <si>
    <t>Debt Schedule</t>
  </si>
  <si>
    <t>Actuals</t>
  </si>
  <si>
    <t>Accrued Promotion Alllowances Days</t>
  </si>
  <si>
    <t>DCF (30/09/2026)</t>
  </si>
  <si>
    <t>Accrued Compensation</t>
  </si>
  <si>
    <t>Cash available to pay down debt</t>
  </si>
  <si>
    <t>Total Tax Depreciation</t>
  </si>
  <si>
    <t>Cash at beginning of year</t>
  </si>
  <si>
    <t>Difference in depreciation</t>
  </si>
  <si>
    <t>Cash flow before debt paydown</t>
  </si>
  <si>
    <t>Tax rate %</t>
  </si>
  <si>
    <t>Accrued Compensation Days</t>
  </si>
  <si>
    <t>Minimum cash cushion</t>
  </si>
  <si>
    <t>Deferred taxes</t>
  </si>
  <si>
    <t>Total cash available to pay down debt</t>
  </si>
  <si>
    <t>Income Tax Payable</t>
  </si>
  <si>
    <t>Short term debt (beginning of year)</t>
  </si>
  <si>
    <t>Mandatory issuances/ (retirements)</t>
  </si>
  <si>
    <t>Non-mandatory issuances / (retirements)</t>
  </si>
  <si>
    <t>Short term debt (end of year)</t>
  </si>
  <si>
    <t>Income Tax Payable Days</t>
  </si>
  <si>
    <t>Short term interest expense</t>
  </si>
  <si>
    <t xml:space="preserve">Deferred Revenue </t>
  </si>
  <si>
    <t>Short term interest rate</t>
  </si>
  <si>
    <t>Other long term debt</t>
  </si>
  <si>
    <t>Other long term debt (beginning of year)</t>
  </si>
  <si>
    <t>Deferred Revenue Days</t>
  </si>
  <si>
    <t>Other long term debt (end of year)</t>
  </si>
  <si>
    <t>Other long term debt interest expense</t>
  </si>
  <si>
    <t>Other long term debt interest rate</t>
  </si>
  <si>
    <t>Total issuances/(retirements)</t>
  </si>
  <si>
    <t>Total working capital</t>
  </si>
  <si>
    <t>Total interest expense</t>
  </si>
  <si>
    <t>Cash at the end of the year</t>
  </si>
  <si>
    <t>Change in working capital</t>
  </si>
  <si>
    <t>Interest Income</t>
  </si>
  <si>
    <t>Match (Y/N)</t>
  </si>
  <si>
    <t>Interest rate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</si>
</sst>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&quot;FY&quot;0&quot;A&quot;"/>
    <numFmt numFmtId="165" formatCode="&quot;FY&quot;0&quot;E&quot;"/>
    <numFmt numFmtId="166" formatCode="_-* #,##0_-;\-* #,##0_-;_-* &quot;-&quot;??_-;_-@"/>
    <numFmt numFmtId="167" formatCode="_(* #,##0.00_);_(* \(#,##0.00\);_(* &quot;-&quot;??_);_(@_)"/>
    <numFmt numFmtId="168" formatCode="0.0%"/>
    <numFmt numFmtId="169" formatCode="_(* #,##0_);_(* \(#,##0\);_(* &quot;-&quot;??_);_(@_)"/>
    <numFmt numFmtId="170" formatCode="0.0"/>
    <numFmt numFmtId="171" formatCode="0.0\x"/>
    <numFmt numFmtId="172" formatCode="[$$-409]#,##0.0_ ;\-[$$-409]#,##0.0\ "/>
    <numFmt numFmtId="173" formatCode="0.0&quot;x&quot;"/>
    <numFmt numFmtId="174" formatCode="_-* #,##0.0_-;\-* #,##0.0_-;_-* &quot;-&quot;??_-;_-@"/>
    <numFmt numFmtId="175" formatCode="#,##0.0;\-#,##0.0"/>
    <numFmt numFmtId="176" formatCode="#,##0;\-#,##0"/>
    <numFmt numFmtId="177" formatCode="#,##0.0"/>
  </numFmts>
  <fonts count="15">
    <font>
      <sz val="11.0"/>
      <color theme="1"/>
      <name val="Calibri"/>
      <scheme val="minor"/>
    </font>
    <font>
      <color theme="1"/>
      <name val="Calibri"/>
      <scheme val="minor"/>
    </font>
    <font>
      <sz val="11.0"/>
      <color theme="0"/>
      <name val="Calibri"/>
    </font>
    <font>
      <b/>
      <sz val="11.0"/>
      <color theme="1"/>
      <name val="Calibri"/>
    </font>
    <font>
      <sz val="11.0"/>
      <color rgb="FF2E75B5"/>
      <name val="Calibri"/>
    </font>
    <font>
      <sz val="11.0"/>
      <color theme="1"/>
      <name val="Calibri"/>
    </font>
    <font>
      <i/>
      <sz val="11.0"/>
      <color theme="1"/>
      <name val="Calibri"/>
    </font>
    <font>
      <sz val="11.0"/>
      <color rgb="FFFF0000"/>
      <name val="Calibri"/>
    </font>
    <font>
      <u/>
      <sz val="11.0"/>
      <color theme="10"/>
      <name val="Calibri"/>
    </font>
    <font/>
    <font>
      <i/>
      <sz val="18.0"/>
      <color theme="1"/>
      <name val="Calibri"/>
    </font>
    <font>
      <b/>
      <sz val="11.0"/>
      <color rgb="FFA8D08D"/>
      <name val="Calibri"/>
    </font>
    <font>
      <sz val="11.0"/>
      <color rgb="FF7030A0"/>
      <name val="Calibri"/>
    </font>
    <font>
      <b/>
      <i/>
      <sz val="11.0"/>
      <color theme="1"/>
      <name val="Calibri"/>
    </font>
    <font>
      <i/>
      <sz val="18.0"/>
      <color theme="0"/>
      <name val="Calibri"/>
    </font>
  </fonts>
  <fills count="13">
    <fill>
      <patternFill patternType="none"/>
    </fill>
    <fill>
      <patternFill patternType="lightGray"/>
    </fill>
    <fill>
      <patternFill patternType="solid">
        <fgColor rgb="FF2E75B5"/>
        <bgColor rgb="FF2E75B5"/>
      </patternFill>
    </fill>
    <fill>
      <patternFill patternType="solid">
        <fgColor theme="5"/>
        <bgColor theme="5"/>
      </patternFill>
    </fill>
    <fill>
      <patternFill patternType="solid">
        <fgColor rgb="FFFFFF00"/>
        <bgColor rgb="FFFFFF00"/>
      </patternFill>
    </fill>
    <fill>
      <patternFill patternType="solid">
        <fgColor rgb="FF7F7F7F"/>
        <bgColor rgb="FF7F7F7F"/>
      </patternFill>
    </fill>
    <fill>
      <patternFill patternType="solid">
        <fgColor theme="0"/>
        <bgColor theme="0"/>
      </patternFill>
    </fill>
    <fill>
      <patternFill patternType="solid">
        <fgColor rgb="FFF4B083"/>
        <bgColor rgb="FFF4B083"/>
      </patternFill>
    </fill>
    <fill>
      <patternFill patternType="solid">
        <fgColor rgb="FFFFE598"/>
        <bgColor rgb="FFFFE598"/>
      </patternFill>
    </fill>
    <fill>
      <patternFill patternType="solid">
        <fgColor rgb="FFBDD6EE"/>
        <bgColor rgb="FFBDD6EE"/>
      </patternFill>
    </fill>
    <fill>
      <patternFill patternType="solid">
        <fgColor rgb="FFFF0000"/>
        <bgColor rgb="FFFF0000"/>
      </patternFill>
    </fill>
    <fill>
      <patternFill patternType="solid">
        <fgColor rgb="FFFFF2CB"/>
        <bgColor rgb="FFFFF2CB"/>
      </patternFill>
    </fill>
    <fill>
      <patternFill patternType="solid">
        <fgColor rgb="FFC5E0B3"/>
        <bgColor rgb="FFC5E0B3"/>
      </patternFill>
    </fill>
  </fills>
  <borders count="36">
    <border/>
    <border>
      <left/>
      <right/>
      <top/>
      <bottom/>
    </border>
    <border>
      <top style="thin">
        <color rgb="FF000000"/>
      </top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/>
    </border>
    <border>
      <left/>
      <right/>
      <top style="thin">
        <color rgb="FF000000"/>
      </top>
      <bottom/>
    </border>
    <border>
      <left/>
      <top style="thin">
        <color rgb="FF000000"/>
      </top>
      <bottom/>
    </border>
    <border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/>
      <bottom/>
    </border>
    <border>
      <left/>
      <right style="thin">
        <color rgb="FF000000"/>
      </right>
      <top style="thin">
        <color rgb="FF000000"/>
      </top>
      <bottom/>
    </border>
    <border>
      <left/>
      <right style="thin">
        <color rgb="FF000000"/>
      </right>
      <top/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 style="thin">
        <color rgb="FF000000"/>
      </right>
      <top/>
      <bottom style="dotted">
        <color rgb="FF000000"/>
      </bottom>
    </border>
    <border>
      <left/>
      <top/>
      <bottom/>
    </border>
    <border>
      <right style="thin">
        <color rgb="FF000000"/>
      </right>
      <top/>
      <bottom/>
    </border>
    <border>
      <left/>
      <right style="dotted">
        <color rgb="FF000000"/>
      </right>
      <top/>
      <bottom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</border>
    <border>
      <left/>
      <top/>
      <bottom style="thin">
        <color rgb="FF000000"/>
      </bottom>
    </border>
    <border>
      <right style="thin">
        <color rgb="FF000000"/>
      </right>
      <top/>
      <bottom style="thin">
        <color rgb="FF000000"/>
      </bottom>
    </border>
    <border>
      <top style="thin">
        <color rgb="FF000000"/>
      </top>
      <bottom style="double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left/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000000"/>
      </left>
    </border>
    <border>
      <left/>
      <right/>
      <top style="thin">
        <color rgb="FF000000"/>
      </top>
      <bottom style="double">
        <color rgb="FF000000"/>
      </bottom>
    </border>
    <border>
      <bottom style="thin">
        <color rgb="FF000000"/>
      </bottom>
    </border>
    <border>
      <top style="thin">
        <color rgb="FF000000"/>
      </top>
      <bottom style="dotted">
        <color rgb="FF000000"/>
      </bottom>
    </border>
    <border>
      <top/>
      <bottom/>
    </border>
    <border>
      <right/>
      <top/>
      <bottom/>
    </border>
  </borders>
  <cellStyleXfs count="1">
    <xf borderId="0" fillId="0" fontId="0" numFmtId="0" applyAlignment="1" applyFont="1"/>
  </cellStyleXfs>
  <cellXfs count="136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1" fillId="2" fontId="2" numFmtId="164" xfId="0" applyBorder="1" applyFill="1" applyFont="1" applyNumberFormat="1"/>
    <xf borderId="1" fillId="2" fontId="2" numFmtId="165" xfId="0" applyBorder="1" applyFill="1" applyFont="1" applyNumberFormat="1"/>
    <xf borderId="0" fillId="0" fontId="3" numFmtId="0" xfId="0" applyFont="1"/>
    <xf borderId="0" fillId="0" fontId="4" numFmtId="166" xfId="0" applyFont="1" applyNumberFormat="1"/>
    <xf borderId="0" fillId="0" fontId="3" numFmtId="0" xfId="0" applyAlignment="1" applyFont="1">
      <alignment horizontal="right"/>
    </xf>
    <xf borderId="0" fillId="0" fontId="5" numFmtId="167" xfId="0" applyAlignment="1" applyFont="1" applyNumberFormat="1">
      <alignment shrinkToFit="0" wrapText="1"/>
    </xf>
    <xf borderId="1" fillId="3" fontId="4" numFmtId="166" xfId="0" applyBorder="1" applyFill="1" applyFont="1" applyNumberFormat="1"/>
    <xf borderId="1" fillId="4" fontId="5" numFmtId="166" xfId="0" applyBorder="1" applyFill="1" applyFont="1" applyNumberFormat="1"/>
    <xf borderId="1" fillId="3" fontId="5" numFmtId="166" xfId="0" applyBorder="1" applyFill="1" applyFont="1" applyNumberFormat="1"/>
    <xf borderId="0" fillId="0" fontId="5" numFmtId="168" xfId="0" applyFont="1" applyNumberFormat="1"/>
    <xf borderId="0" fillId="0" fontId="6" numFmtId="0" xfId="0" applyFont="1"/>
    <xf borderId="0" fillId="0" fontId="7" numFmtId="166" xfId="0" applyFont="1" applyNumberFormat="1"/>
    <xf borderId="1" fillId="3" fontId="5" numFmtId="169" xfId="0" applyBorder="1" applyFill="1" applyFont="1" applyNumberFormat="1"/>
    <xf borderId="0" fillId="0" fontId="8" numFmtId="0" xfId="0" applyFont="1"/>
    <xf borderId="0" fillId="0" fontId="7" numFmtId="168" xfId="0" applyFont="1" applyNumberFormat="1"/>
    <xf borderId="0" fillId="0" fontId="5" numFmtId="169" xfId="0" applyFont="1" applyNumberFormat="1"/>
    <xf borderId="0" fillId="0" fontId="4" numFmtId="10" xfId="0" applyFont="1" applyNumberFormat="1"/>
    <xf borderId="0" fillId="0" fontId="5" numFmtId="166" xfId="0" applyFont="1" applyNumberFormat="1"/>
    <xf borderId="2" fillId="0" fontId="5" numFmtId="166" xfId="0" applyBorder="1" applyFont="1" applyNumberFormat="1"/>
    <xf borderId="0" fillId="0" fontId="4" numFmtId="168" xfId="0" applyFont="1" applyNumberFormat="1"/>
    <xf borderId="0" fillId="0" fontId="5" numFmtId="0" xfId="0" applyAlignment="1" applyFont="1">
      <alignment horizontal="left"/>
    </xf>
    <xf borderId="0" fillId="0" fontId="5" numFmtId="0" xfId="0" applyAlignment="1" applyFont="1">
      <alignment shrinkToFit="0" wrapText="1"/>
    </xf>
    <xf borderId="2" fillId="0" fontId="5" numFmtId="0" xfId="0" applyBorder="1" applyFont="1"/>
    <xf borderId="0" fillId="0" fontId="3" numFmtId="0" xfId="0" applyAlignment="1" applyFont="1">
      <alignment horizontal="left"/>
    </xf>
    <xf borderId="0" fillId="0" fontId="5" numFmtId="170" xfId="0" applyFont="1" applyNumberFormat="1"/>
    <xf borderId="0" fillId="0" fontId="5" numFmtId="10" xfId="0" applyFont="1" applyNumberFormat="1"/>
    <xf borderId="3" fillId="5" fontId="3" numFmtId="0" xfId="0" applyAlignment="1" applyBorder="1" applyFill="1" applyFont="1">
      <alignment horizontal="left"/>
    </xf>
    <xf borderId="4" fillId="5" fontId="5" numFmtId="0" xfId="0" applyBorder="1" applyFill="1" applyFont="1"/>
    <xf borderId="5" fillId="5" fontId="5" numFmtId="0" xfId="0" applyBorder="1" applyFill="1" applyFont="1"/>
    <xf borderId="3" fillId="5" fontId="3" numFmtId="0" xfId="0" applyBorder="1" applyFill="1" applyFont="1"/>
    <xf borderId="6" fillId="6" fontId="5" numFmtId="0" xfId="0" applyAlignment="1" applyBorder="1" applyFill="1" applyFont="1">
      <alignment horizontal="left"/>
    </xf>
    <xf borderId="7" fillId="6" fontId="5" numFmtId="0" xfId="0" applyBorder="1" applyFill="1" applyFont="1"/>
    <xf borderId="8" fillId="6" fontId="5" numFmtId="166" xfId="0" applyAlignment="1" applyBorder="1" applyFill="1" applyFont="1" applyNumberFormat="1">
      <alignment horizontal="center"/>
    </xf>
    <xf borderId="9" fillId="0" fontId="9" numFmtId="0" xfId="0" applyBorder="1" applyFont="1"/>
    <xf borderId="10" fillId="6" fontId="5" numFmtId="0" xfId="0" applyBorder="1" applyFill="1" applyFont="1"/>
    <xf borderId="1" fillId="6" fontId="5" numFmtId="0" xfId="0" applyBorder="1" applyFill="1" applyFont="1"/>
    <xf borderId="11" fillId="6" fontId="5" numFmtId="10" xfId="0" applyBorder="1" applyFill="1" applyFont="1" applyNumberFormat="1"/>
    <xf borderId="1" fillId="6" fontId="3" numFmtId="0" xfId="0" applyBorder="1" applyFill="1" applyFont="1"/>
    <xf borderId="12" fillId="6" fontId="5" numFmtId="166" xfId="0" applyAlignment="1" applyBorder="1" applyFill="1" applyFont="1" applyNumberFormat="1">
      <alignment horizontal="right"/>
    </xf>
    <xf borderId="10" fillId="6" fontId="5" numFmtId="0" xfId="0" applyAlignment="1" applyBorder="1" applyFill="1" applyFont="1">
      <alignment horizontal="left"/>
    </xf>
    <xf borderId="13" fillId="6" fontId="5" numFmtId="171" xfId="0" applyAlignment="1" applyBorder="1" applyFill="1" applyFont="1" applyNumberFormat="1">
      <alignment horizontal="right"/>
    </xf>
    <xf borderId="14" fillId="0" fontId="9" numFmtId="0" xfId="0" applyBorder="1" applyFont="1"/>
    <xf borderId="15" fillId="6" fontId="5" numFmtId="10" xfId="0" applyBorder="1" applyFill="1" applyFont="1" applyNumberFormat="1"/>
    <xf borderId="12" fillId="6" fontId="5" numFmtId="0" xfId="0" applyBorder="1" applyFill="1" applyFont="1"/>
    <xf borderId="16" fillId="6" fontId="5" numFmtId="169" xfId="0" applyAlignment="1" applyBorder="1" applyFill="1" applyFont="1" applyNumberFormat="1">
      <alignment horizontal="center"/>
    </xf>
    <xf borderId="17" fillId="0" fontId="9" numFmtId="0" xfId="0" applyBorder="1" applyFont="1"/>
    <xf borderId="18" fillId="6" fontId="5" numFmtId="0" xfId="0" applyBorder="1" applyFill="1" applyFont="1"/>
    <xf borderId="19" fillId="7" fontId="5" numFmtId="0" xfId="0" applyBorder="1" applyFill="1" applyFont="1"/>
    <xf borderId="10" fillId="6" fontId="3" numFmtId="0" xfId="0" applyAlignment="1" applyBorder="1" applyFill="1" applyFont="1">
      <alignment horizontal="left"/>
    </xf>
    <xf borderId="20" fillId="6" fontId="5" numFmtId="166" xfId="0" applyAlignment="1" applyBorder="1" applyFill="1" applyFont="1" applyNumberFormat="1">
      <alignment horizontal="center"/>
    </xf>
    <xf borderId="21" fillId="0" fontId="9" numFmtId="0" xfId="0" applyBorder="1" applyFont="1"/>
    <xf borderId="22" fillId="0" fontId="5" numFmtId="166" xfId="0" applyBorder="1" applyFont="1" applyNumberFormat="1"/>
    <xf borderId="0" fillId="0" fontId="5" numFmtId="9" xfId="0" applyFont="1" applyNumberFormat="1"/>
    <xf borderId="12" fillId="6" fontId="5" numFmtId="10" xfId="0" applyBorder="1" applyFill="1" applyFont="1" applyNumberFormat="1"/>
    <xf borderId="12" fillId="6" fontId="5" numFmtId="169" xfId="0" applyBorder="1" applyFill="1" applyFont="1" applyNumberFormat="1"/>
    <xf borderId="12" fillId="7" fontId="5" numFmtId="168" xfId="0" applyBorder="1" applyFill="1" applyFont="1" applyNumberFormat="1"/>
    <xf borderId="12" fillId="6" fontId="5" numFmtId="166" xfId="0" applyBorder="1" applyFill="1" applyFont="1" applyNumberFormat="1"/>
    <xf borderId="13" fillId="6" fontId="5" numFmtId="168" xfId="0" applyAlignment="1" applyBorder="1" applyFill="1" applyFont="1" applyNumberFormat="1">
      <alignment horizontal="right"/>
    </xf>
    <xf borderId="23" fillId="6" fontId="5" numFmtId="0" xfId="0" applyBorder="1" applyFill="1" applyFont="1"/>
    <xf borderId="24" fillId="6" fontId="5" numFmtId="0" xfId="0" applyBorder="1" applyFill="1" applyFont="1"/>
    <xf borderId="25" fillId="6" fontId="5" numFmtId="10" xfId="0" applyBorder="1" applyFill="1" applyFont="1" applyNumberFormat="1"/>
    <xf borderId="23" fillId="6" fontId="3" numFmtId="0" xfId="0" applyBorder="1" applyFill="1" applyFont="1"/>
    <xf borderId="25" fillId="6" fontId="5" numFmtId="169" xfId="0" applyBorder="1" applyFill="1" applyFont="1" applyNumberFormat="1"/>
    <xf borderId="23" fillId="6" fontId="3" numFmtId="0" xfId="0" applyAlignment="1" applyBorder="1" applyFill="1" applyFont="1">
      <alignment horizontal="left"/>
    </xf>
    <xf borderId="20" fillId="6" fontId="5" numFmtId="169" xfId="0" applyAlignment="1" applyBorder="1" applyFill="1" applyFont="1" applyNumberFormat="1">
      <alignment horizontal="center"/>
    </xf>
    <xf borderId="4" fillId="5" fontId="3" numFmtId="0" xfId="0" applyBorder="1" applyFill="1" applyFont="1"/>
    <xf borderId="26" fillId="0" fontId="5" numFmtId="166" xfId="0" applyBorder="1" applyFont="1" applyNumberFormat="1"/>
    <xf borderId="27" fillId="5" fontId="3" numFmtId="0" xfId="0" applyAlignment="1" applyBorder="1" applyFill="1" applyFont="1">
      <alignment horizontal="center"/>
    </xf>
    <xf borderId="1" fillId="6" fontId="5" numFmtId="166" xfId="0" applyAlignment="1" applyBorder="1" applyFill="1" applyFont="1" applyNumberFormat="1">
      <alignment horizontal="right"/>
    </xf>
    <xf borderId="1" fillId="6" fontId="5" numFmtId="3" xfId="0" applyAlignment="1" applyBorder="1" applyFill="1" applyFont="1" applyNumberFormat="1">
      <alignment horizontal="right"/>
    </xf>
    <xf borderId="16" fillId="6" fontId="5" numFmtId="3" xfId="0" applyAlignment="1" applyBorder="1" applyFill="1" applyFont="1" applyNumberFormat="1">
      <alignment horizontal="right"/>
    </xf>
    <xf borderId="10" fillId="6" fontId="3" numFmtId="0" xfId="0" applyBorder="1" applyFill="1" applyFont="1"/>
    <xf borderId="16" fillId="6" fontId="5" numFmtId="166" xfId="0" applyAlignment="1" applyBorder="1" applyFill="1" applyFont="1" applyNumberFormat="1">
      <alignment horizontal="right"/>
    </xf>
    <xf borderId="24" fillId="6" fontId="5" numFmtId="172" xfId="0" applyAlignment="1" applyBorder="1" applyFill="1" applyFont="1" applyNumberFormat="1">
      <alignment horizontal="right"/>
    </xf>
    <xf borderId="20" fillId="6" fontId="5" numFmtId="172" xfId="0" applyAlignment="1" applyBorder="1" applyFill="1" applyFont="1" applyNumberFormat="1">
      <alignment horizontal="right"/>
    </xf>
    <xf borderId="28" fillId="0" fontId="5" numFmtId="0" xfId="0" applyBorder="1" applyFont="1"/>
    <xf borderId="28" fillId="0" fontId="3" numFmtId="0" xfId="0" applyBorder="1" applyFont="1"/>
    <xf borderId="0" fillId="0" fontId="3" numFmtId="172" xfId="0" applyFont="1" applyNumberFormat="1"/>
    <xf borderId="0" fillId="0" fontId="5" numFmtId="173" xfId="0" applyFont="1" applyNumberFormat="1"/>
    <xf borderId="1" fillId="8" fontId="5" numFmtId="173" xfId="0" applyBorder="1" applyFill="1" applyFont="1" applyNumberFormat="1"/>
    <xf borderId="29" fillId="0" fontId="5" numFmtId="2" xfId="0" applyBorder="1" applyFont="1" applyNumberFormat="1"/>
    <xf borderId="2" fillId="0" fontId="5" numFmtId="2" xfId="0" applyBorder="1" applyFont="1" applyNumberFormat="1"/>
    <xf borderId="30" fillId="0" fontId="5" numFmtId="2" xfId="0" applyBorder="1" applyFont="1" applyNumberFormat="1"/>
    <xf borderId="1" fillId="9" fontId="5" numFmtId="2" xfId="0" applyBorder="1" applyFill="1" applyFont="1" applyNumberFormat="1"/>
    <xf borderId="0" fillId="0" fontId="5" numFmtId="2" xfId="0" applyFont="1" applyNumberFormat="1"/>
    <xf borderId="1" fillId="8" fontId="5" numFmtId="10" xfId="0" applyBorder="1" applyFill="1" applyFont="1" applyNumberFormat="1"/>
    <xf borderId="1" fillId="2" fontId="2" numFmtId="2" xfId="0" applyBorder="1" applyFill="1" applyFont="1" applyNumberFormat="1"/>
    <xf borderId="1" fillId="4" fontId="4" numFmtId="166" xfId="0" applyBorder="1" applyFill="1" applyFont="1" applyNumberFormat="1"/>
    <xf borderId="1" fillId="4" fontId="5" numFmtId="0" xfId="0" applyBorder="1" applyFill="1" applyFont="1"/>
    <xf borderId="1" fillId="10" fontId="4" numFmtId="166" xfId="0" applyBorder="1" applyFill="1" applyFont="1" applyNumberFormat="1"/>
    <xf borderId="0" fillId="0" fontId="7" numFmtId="0" xfId="0" applyAlignment="1" applyFont="1">
      <alignment shrinkToFit="0" wrapText="1"/>
    </xf>
    <xf borderId="0" fillId="0" fontId="5" numFmtId="167" xfId="0" applyFont="1" applyNumberFormat="1"/>
    <xf borderId="31" fillId="3" fontId="5" numFmtId="166" xfId="0" applyBorder="1" applyFill="1" applyFont="1" applyNumberFormat="1"/>
    <xf borderId="0" fillId="0" fontId="10" numFmtId="0" xfId="0" applyFont="1"/>
    <xf borderId="0" fillId="0" fontId="11" numFmtId="0" xfId="0" applyFont="1"/>
    <xf borderId="32" fillId="0" fontId="5" numFmtId="0" xfId="0" applyAlignment="1" applyBorder="1" applyFont="1">
      <alignment horizontal="left"/>
    </xf>
    <xf borderId="32" fillId="0" fontId="5" numFmtId="0" xfId="0" applyBorder="1" applyFont="1"/>
    <xf borderId="0" fillId="0" fontId="5" numFmtId="0" xfId="0" applyFont="1"/>
    <xf borderId="0" fillId="0" fontId="11" numFmtId="2" xfId="0" applyFont="1" applyNumberFormat="1"/>
    <xf borderId="32" fillId="0" fontId="5" numFmtId="166" xfId="0" applyBorder="1" applyFont="1" applyNumberFormat="1"/>
    <xf borderId="0" fillId="0" fontId="6" numFmtId="0" xfId="0" applyAlignment="1" applyFont="1">
      <alignment horizontal="center"/>
    </xf>
    <xf borderId="0" fillId="0" fontId="5" numFmtId="174" xfId="0" applyFont="1" applyNumberFormat="1"/>
    <xf borderId="0" fillId="0" fontId="12" numFmtId="175" xfId="0" applyFont="1" applyNumberFormat="1"/>
    <xf borderId="0" fillId="0" fontId="5" numFmtId="175" xfId="0" applyFont="1" applyNumberFormat="1"/>
    <xf borderId="0" fillId="0" fontId="6" numFmtId="0" xfId="0" applyAlignment="1" applyFont="1">
      <alignment horizontal="right" shrinkToFit="0" wrapText="1"/>
    </xf>
    <xf borderId="0" fillId="0" fontId="13" numFmtId="0" xfId="0" applyFont="1"/>
    <xf borderId="19" fillId="11" fontId="7" numFmtId="168" xfId="0" applyBorder="1" applyFill="1" applyFont="1" applyNumberFormat="1"/>
    <xf borderId="0" fillId="0" fontId="5" numFmtId="0" xfId="0" applyAlignment="1" applyFont="1">
      <alignment horizontal="right"/>
    </xf>
    <xf borderId="0" fillId="0" fontId="5" numFmtId="176" xfId="0" applyFont="1" applyNumberFormat="1"/>
    <xf borderId="2" fillId="0" fontId="12" numFmtId="175" xfId="0" applyBorder="1" applyFont="1" applyNumberFormat="1"/>
    <xf borderId="0" fillId="0" fontId="11" numFmtId="168" xfId="0" applyFont="1" applyNumberFormat="1"/>
    <xf borderId="33" fillId="0" fontId="5" numFmtId="166" xfId="0" applyBorder="1" applyFont="1" applyNumberFormat="1"/>
    <xf borderId="1" fillId="2" fontId="14" numFmtId="0" xfId="0" applyBorder="1" applyFill="1" applyFont="1"/>
    <xf borderId="16" fillId="2" fontId="2" numFmtId="0" xfId="0" applyAlignment="1" applyBorder="1" applyFill="1" applyFont="1">
      <alignment horizontal="center"/>
    </xf>
    <xf borderId="34" fillId="0" fontId="9" numFmtId="0" xfId="0" applyBorder="1" applyFont="1"/>
    <xf borderId="35" fillId="0" fontId="9" numFmtId="0" xfId="0" applyBorder="1" applyFont="1"/>
    <xf borderId="0" fillId="0" fontId="5" numFmtId="0" xfId="0" applyAlignment="1" applyFont="1">
      <alignment horizontal="left" vertical="top"/>
    </xf>
    <xf borderId="2" fillId="0" fontId="5" numFmtId="169" xfId="0" applyBorder="1" applyFont="1" applyNumberFormat="1"/>
    <xf borderId="0" fillId="0" fontId="6" numFmtId="0" xfId="0" applyAlignment="1" applyFont="1">
      <alignment horizontal="right"/>
    </xf>
    <xf borderId="0" fillId="0" fontId="3" numFmtId="0" xfId="0" applyAlignment="1" applyFont="1">
      <alignment horizontal="left" vertical="top"/>
    </xf>
    <xf borderId="13" fillId="0" fontId="5" numFmtId="166" xfId="0" applyBorder="1" applyFont="1" applyNumberFormat="1"/>
    <xf borderId="14" fillId="0" fontId="5" numFmtId="166" xfId="0" applyBorder="1" applyFont="1" applyNumberFormat="1"/>
    <xf borderId="0" fillId="0" fontId="5" numFmtId="177" xfId="0" applyFont="1" applyNumberFormat="1"/>
    <xf borderId="0" fillId="0" fontId="4" numFmtId="177" xfId="0" applyFont="1" applyNumberFormat="1"/>
    <xf borderId="2" fillId="0" fontId="5" numFmtId="177" xfId="0" applyBorder="1" applyFont="1" applyNumberFormat="1"/>
    <xf borderId="7" fillId="12" fontId="5" numFmtId="177" xfId="0" applyBorder="1" applyFill="1" applyFont="1" applyNumberFormat="1"/>
    <xf borderId="0" fillId="0" fontId="6" numFmtId="0" xfId="0" applyAlignment="1" applyFont="1">
      <alignment horizontal="left"/>
    </xf>
    <xf borderId="0" fillId="0" fontId="4" numFmtId="9" xfId="0" applyFont="1" applyNumberFormat="1"/>
    <xf borderId="13" fillId="0" fontId="12" numFmtId="175" xfId="0" applyBorder="1" applyFont="1" applyNumberFormat="1"/>
    <xf borderId="26" fillId="0" fontId="5" numFmtId="175" xfId="0" applyBorder="1" applyFont="1" applyNumberFormat="1"/>
    <xf borderId="14" fillId="0" fontId="5" numFmtId="175" xfId="0" applyBorder="1" applyFont="1" applyNumberFormat="1"/>
    <xf borderId="7" fillId="12" fontId="5" numFmtId="166" xfId="0" applyBorder="1" applyFill="1" applyFont="1" applyNumberFormat="1"/>
    <xf borderId="32" fillId="0" fontId="7" numFmtId="37" xfId="0" applyBorder="1" applyFont="1" applyNumberFormat="1"/>
    <xf borderId="32" fillId="0" fontId="5" numFmtId="168" xfId="0" applyBorder="1" applyFont="1" applyNumberFormat="1"/>
  </cellXfs>
  <cellStyles count="1">
    <cellStyle xfId="0" name="Normal" builtinId="0"/>
  </cellStyles>
  <dxfs count="0"/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3"/></Relationships>
</file>

<file path=xl/_rels/comments2.xml.rels><?xml version="1.0" encoding="UTF-8" standalone="yes"?><Relationships xmlns="http://schemas.openxmlformats.org/package/2006/relationships"><Relationship Id="rId1" Type="http://customschemas.google.com/relationships/workbookmetadata" Target="commentsmeta1"/></Relationships>
</file>

<file path=xl/_rels/comments3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comments4.xml.rels><?xml version="1.0" encoding="UTF-8" standalone="yes"?><Relationships xmlns="http://schemas.openxmlformats.org/package/2006/relationships"><Relationship Id="rId1" Type="http://customschemas.google.com/relationships/workbookmetadata" Target="commentsmeta2"/></Relationships>
</file>

<file path=xl/_rels/comments5.xml.rels><?xml version="1.0" encoding="UTF-8" standalone="yes"?><Relationships xmlns="http://schemas.openxmlformats.org/package/2006/relationships"><Relationship Id="rId1" Type="http://customschemas.google.com/relationships/workbookmetadata" Target="commentsmeta4"/></Relationships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investors.monsterbevcorp.com/financial-information/sec-filings?field_nir_sec_form_group_target_id%5B%5D=471&amp;field_nir_sec_date_filed_value=&amp;filter_type=&amp;relative_date_range_after=&amp;relative_date_range_before=&amp;exact_date_range_after=&amp;exact_date_range_before=#views-exposed-form-widget-sec-filings-table#views-exposed-form-widget-sec-filings-table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4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 outlineLevelRow="1"/>
  <cols>
    <col customWidth="1" min="1" max="26" width="8.71"/>
  </cols>
  <sheetData>
    <row r="1" ht="14.25" customHeight="1">
      <c r="A1" s="15" t="s">
        <v>1</v>
      </c>
    </row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hyperlinks>
    <hyperlink r:id="rId1" ref="A1"/>
  </hyperlinks>
  <printOptions/>
  <pageMargins bottom="0.75" footer="0.0" header="0.0" left="0.7" right="0.7" top="0.75"/>
  <pageSetup orientation="landscape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 outlineLevelRow="1"/>
  <cols>
    <col customWidth="1" min="1" max="1" width="30.71"/>
    <col customWidth="1" min="2" max="4" width="15.29"/>
    <col customWidth="1" min="5" max="11" width="15.71"/>
    <col customWidth="1" min="12" max="14" width="8.71"/>
    <col customWidth="1" min="15" max="15" width="10.0"/>
    <col customWidth="1" min="16" max="26" width="8.71"/>
  </cols>
  <sheetData>
    <row r="1" ht="14.25" customHeight="1">
      <c r="A1" s="1" t="s">
        <v>2</v>
      </c>
      <c r="B1" s="2">
        <v>2021.0</v>
      </c>
      <c r="C1" s="2">
        <v>2022.0</v>
      </c>
      <c r="D1" s="2">
        <v>2023.0</v>
      </c>
      <c r="E1" s="2">
        <f t="shared" ref="E1:K1" si="1">D1+1</f>
        <v>2024</v>
      </c>
      <c r="F1" s="2">
        <f t="shared" si="1"/>
        <v>2025</v>
      </c>
      <c r="G1" s="3">
        <f t="shared" si="1"/>
        <v>2026</v>
      </c>
      <c r="H1" s="3">
        <f t="shared" si="1"/>
        <v>2027</v>
      </c>
      <c r="I1" s="3">
        <f t="shared" si="1"/>
        <v>2028</v>
      </c>
      <c r="J1" s="3">
        <f t="shared" si="1"/>
        <v>2029</v>
      </c>
      <c r="K1" s="3">
        <f t="shared" si="1"/>
        <v>2030</v>
      </c>
      <c r="N1" s="6" t="s">
        <v>7</v>
      </c>
    </row>
    <row r="2" ht="14.25" customHeight="1">
      <c r="A2" s="4" t="s">
        <v>8</v>
      </c>
      <c r="B2" s="5">
        <v>5541352.0</v>
      </c>
      <c r="C2" s="5">
        <v>6311050.0</v>
      </c>
      <c r="D2" s="5">
        <v>7140027.0</v>
      </c>
      <c r="E2" s="5">
        <v>7492709.0</v>
      </c>
      <c r="F2" s="5">
        <v>8294343.0</v>
      </c>
      <c r="G2" s="7">
        <f t="shared" ref="G2:K2" si="2">F2*(G3+1)</f>
        <v>9264781.131</v>
      </c>
      <c r="H2" s="7">
        <f t="shared" si="2"/>
        <v>10052287.53</v>
      </c>
      <c r="I2" s="7">
        <f t="shared" si="2"/>
        <v>10936888.83</v>
      </c>
      <c r="J2" s="7">
        <f t="shared" si="2"/>
        <v>11757155.49</v>
      </c>
      <c r="K2" s="7">
        <f t="shared" si="2"/>
        <v>12591913.53</v>
      </c>
      <c r="M2" s="4"/>
      <c r="N2" s="11">
        <f>IFERROR((F2/B2)^(1/4)-1,"")</f>
        <v>0.1060927944</v>
      </c>
      <c r="O2" s="4"/>
      <c r="P2" s="4"/>
      <c r="Q2" s="4"/>
    </row>
    <row r="3" ht="14.25" customHeight="1">
      <c r="A3" s="12" t="s">
        <v>11</v>
      </c>
      <c r="B3" s="5"/>
      <c r="C3" s="11">
        <f t="shared" ref="C3:F3" si="3">C2/B2-1</f>
        <v>0.1389007592</v>
      </c>
      <c r="D3" s="11">
        <f t="shared" si="3"/>
        <v>0.1313532613</v>
      </c>
      <c r="E3" s="11">
        <f t="shared" si="3"/>
        <v>0.04939505131</v>
      </c>
      <c r="F3" s="11">
        <f t="shared" si="3"/>
        <v>0.1069885405</v>
      </c>
      <c r="G3" s="16">
        <v>0.117</v>
      </c>
      <c r="H3" s="16">
        <v>0.085</v>
      </c>
      <c r="I3" s="16">
        <v>0.088</v>
      </c>
      <c r="J3" s="11">
        <v>0.075</v>
      </c>
      <c r="K3" s="11">
        <v>0.071</v>
      </c>
      <c r="M3" s="4"/>
      <c r="O3" s="4"/>
      <c r="P3" s="4"/>
      <c r="Q3" s="4"/>
    </row>
    <row r="4" ht="14.25" customHeight="1">
      <c r="A4" s="1" t="s">
        <v>14</v>
      </c>
      <c r="B4" s="5">
        <v>-2432839.0</v>
      </c>
      <c r="C4" s="5">
        <v>-3136483.0</v>
      </c>
      <c r="D4" s="5">
        <v>-3345821.0</v>
      </c>
      <c r="E4" s="5">
        <v>-3443831.0</v>
      </c>
      <c r="F4" s="5">
        <v>-3662148.0</v>
      </c>
      <c r="G4" s="19">
        <f t="shared" ref="G4:K4" si="4">(G2*G5)*-1</f>
        <v>-4323714.051</v>
      </c>
      <c r="H4" s="19">
        <f t="shared" si="4"/>
        <v>-4691229.746</v>
      </c>
      <c r="I4" s="19">
        <f t="shared" si="4"/>
        <v>-5104057.963</v>
      </c>
      <c r="J4" s="19">
        <f t="shared" si="4"/>
        <v>-5486862.311</v>
      </c>
      <c r="K4" s="19">
        <f t="shared" si="4"/>
        <v>-5876429.535</v>
      </c>
    </row>
    <row r="5" ht="14.25" customHeight="1">
      <c r="A5" s="12" t="s">
        <v>16</v>
      </c>
      <c r="B5" s="11">
        <f t="shared" ref="B5:C5" si="5">(B4/$C$2)*-1</f>
        <v>0.3854887855</v>
      </c>
      <c r="C5" s="11">
        <f t="shared" si="5"/>
        <v>0.4969827525</v>
      </c>
      <c r="D5" s="11">
        <f>(D4/$D$2)*-1</f>
        <v>0.4686006089</v>
      </c>
      <c r="E5" s="11">
        <f>(E4/$E$2)*-1</f>
        <v>0.4596242828</v>
      </c>
      <c r="F5" s="11">
        <f>(F4/$F$2)*-1</f>
        <v>0.4415235782</v>
      </c>
      <c r="G5" s="11">
        <f>AVERAGE(C5:F5)</f>
        <v>0.4666828056</v>
      </c>
      <c r="H5" s="11">
        <v>0.46668280558459296</v>
      </c>
      <c r="I5" s="11">
        <v>0.46668280558459296</v>
      </c>
      <c r="J5" s="11">
        <v>0.46668280558459296</v>
      </c>
      <c r="K5" s="11">
        <v>0.46668280558459296</v>
      </c>
    </row>
    <row r="6" ht="14.25" customHeight="1">
      <c r="A6" s="4" t="s">
        <v>24</v>
      </c>
      <c r="B6" s="20">
        <f t="shared" ref="B6:K6" si="6">B2+B4</f>
        <v>3108513</v>
      </c>
      <c r="C6" s="20">
        <f t="shared" si="6"/>
        <v>3174567</v>
      </c>
      <c r="D6" s="20">
        <f t="shared" si="6"/>
        <v>3794206</v>
      </c>
      <c r="E6" s="20">
        <f t="shared" si="6"/>
        <v>4048878</v>
      </c>
      <c r="F6" s="20">
        <f t="shared" si="6"/>
        <v>4632195</v>
      </c>
      <c r="G6" s="20">
        <f t="shared" si="6"/>
        <v>4941067.08</v>
      </c>
      <c r="H6" s="20">
        <f t="shared" si="6"/>
        <v>5361057.781</v>
      </c>
      <c r="I6" s="20">
        <f t="shared" si="6"/>
        <v>5832830.866</v>
      </c>
      <c r="J6" s="20">
        <f t="shared" si="6"/>
        <v>6270293.181</v>
      </c>
      <c r="K6" s="20">
        <f t="shared" si="6"/>
        <v>6715483.997</v>
      </c>
    </row>
    <row r="7" ht="14.25" customHeight="1">
      <c r="A7" s="12" t="s">
        <v>16</v>
      </c>
      <c r="B7" s="19"/>
      <c r="C7" s="11">
        <f t="shared" ref="C7:K7" si="7">C6/C2</f>
        <v>0.5030172475</v>
      </c>
      <c r="D7" s="11">
        <f t="shared" si="7"/>
        <v>0.5313993911</v>
      </c>
      <c r="E7" s="11">
        <f t="shared" si="7"/>
        <v>0.5403757172</v>
      </c>
      <c r="F7" s="11">
        <f t="shared" si="7"/>
        <v>0.5584764218</v>
      </c>
      <c r="G7" s="11">
        <f t="shared" si="7"/>
        <v>0.5333171944</v>
      </c>
      <c r="H7" s="11">
        <f t="shared" si="7"/>
        <v>0.5333171944</v>
      </c>
      <c r="I7" s="11">
        <f t="shared" si="7"/>
        <v>0.5333171944</v>
      </c>
      <c r="J7" s="11">
        <f t="shared" si="7"/>
        <v>0.5333171944</v>
      </c>
      <c r="K7" s="11">
        <f t="shared" si="7"/>
        <v>0.5333171944</v>
      </c>
    </row>
    <row r="8" ht="14.25" customHeight="1">
      <c r="A8" s="12"/>
      <c r="B8" s="19"/>
      <c r="C8" s="19"/>
      <c r="D8" s="19"/>
    </row>
    <row r="9" ht="14.25" customHeight="1">
      <c r="A9" s="1" t="s">
        <v>37</v>
      </c>
      <c r="B9" s="5">
        <v>-213900.0</v>
      </c>
      <c r="C9" s="5">
        <v>-249200.0</v>
      </c>
      <c r="D9" s="5">
        <f>(223600000/1000)*-1</f>
        <v>-223600</v>
      </c>
      <c r="E9" s="5">
        <v>-224200.0</v>
      </c>
      <c r="F9" s="5">
        <v>-237000.0</v>
      </c>
      <c r="G9" s="19">
        <f t="shared" ref="G9:K9" si="8">(G2*G10)*-1</f>
        <v>-277364.4525</v>
      </c>
      <c r="H9" s="19">
        <f t="shared" si="8"/>
        <v>-300940.431</v>
      </c>
      <c r="I9" s="19">
        <f t="shared" si="8"/>
        <v>-327423.1889</v>
      </c>
      <c r="J9" s="19">
        <f t="shared" si="8"/>
        <v>-351979.9281</v>
      </c>
      <c r="K9" s="19">
        <f t="shared" si="8"/>
        <v>-376970.503</v>
      </c>
    </row>
    <row r="10" ht="14.25" customHeight="1">
      <c r="A10" s="12" t="s">
        <v>16</v>
      </c>
      <c r="B10" s="5"/>
      <c r="C10" s="11">
        <f>(C9/$C$2)*-1</f>
        <v>0.03948629784</v>
      </c>
      <c r="D10" s="11">
        <f>(D9/$D$2)*-1</f>
        <v>0.03131640819</v>
      </c>
      <c r="E10" s="11">
        <f>(E9/$E$2)*-1</f>
        <v>0.02992242192</v>
      </c>
      <c r="F10" s="11">
        <f>(F9/$F$2)*-1</f>
        <v>0.02857369173</v>
      </c>
      <c r="G10" s="11">
        <f>((AVERAGE(D10:F10))*-1)*-1</f>
        <v>0.02993750728</v>
      </c>
      <c r="H10" s="11">
        <v>0.02993750727872249</v>
      </c>
      <c r="I10" s="11">
        <v>0.02993750727872249</v>
      </c>
      <c r="J10" s="11">
        <v>0.02993750727872249</v>
      </c>
      <c r="K10" s="11">
        <v>0.02993750727872249</v>
      </c>
      <c r="N10" s="6" t="s">
        <v>7</v>
      </c>
    </row>
    <row r="11" ht="14.25" customHeight="1">
      <c r="A11" s="23" t="s">
        <v>52</v>
      </c>
      <c r="B11" s="5">
        <v>-417600.0</v>
      </c>
      <c r="C11" s="5">
        <v>-460700.0</v>
      </c>
      <c r="D11" s="5">
        <v>-528900.0</v>
      </c>
      <c r="E11" s="5">
        <v>-584100.0</v>
      </c>
      <c r="F11" s="5">
        <v>-599900.0</v>
      </c>
      <c r="G11" s="19">
        <f t="shared" ref="G11:K11" si="9">(G2*G12)*-1</f>
        <v>-692874.4925</v>
      </c>
      <c r="H11" s="19">
        <f t="shared" si="9"/>
        <v>-751768.8243</v>
      </c>
      <c r="I11" s="19">
        <f t="shared" si="9"/>
        <v>-817924.4809</v>
      </c>
      <c r="J11" s="19">
        <f t="shared" si="9"/>
        <v>-879268.817</v>
      </c>
      <c r="K11" s="19">
        <f t="shared" si="9"/>
        <v>-941696.903</v>
      </c>
      <c r="N11" s="11">
        <f>IFERROR((F11/B11)^(1/4)-1,"")</f>
        <v>0.09478690226</v>
      </c>
    </row>
    <row r="12" ht="14.25" customHeight="1">
      <c r="A12" s="12" t="s">
        <v>16</v>
      </c>
      <c r="B12" s="11">
        <f t="shared" ref="B12:C12" si="10">(B11/$C$2)*-1</f>
        <v>0.06616965481</v>
      </c>
      <c r="C12" s="11">
        <f t="shared" si="10"/>
        <v>0.07299894629</v>
      </c>
      <c r="D12" s="11">
        <f>(D11/$D$2)*-1</f>
        <v>0.07407535014</v>
      </c>
      <c r="E12" s="11">
        <f>(E11/$E$2)*-1</f>
        <v>0.07795578342</v>
      </c>
      <c r="F12" s="11">
        <f>(F11/$F$2)*-1</f>
        <v>0.07232640367</v>
      </c>
      <c r="G12" s="11">
        <f>((AVERAGE(D12:F12))*-1)*-1</f>
        <v>0.07478584574</v>
      </c>
      <c r="H12" s="11">
        <v>0.07478584574045498</v>
      </c>
      <c r="I12" s="11">
        <v>0.07478584574045498</v>
      </c>
      <c r="J12" s="11">
        <v>0.07478584574045498</v>
      </c>
      <c r="K12" s="11">
        <v>0.07478584574045498</v>
      </c>
      <c r="L12" s="54"/>
    </row>
    <row r="13" ht="14.25" customHeight="1">
      <c r="A13" s="1" t="s">
        <v>69</v>
      </c>
      <c r="B13" s="5">
        <v>-629391.0</v>
      </c>
      <c r="C13" s="5">
        <v>-818705.0</v>
      </c>
      <c r="D13" s="5">
        <v>-1019453.0</v>
      </c>
      <c r="E13" s="5">
        <v>-1229850.0</v>
      </c>
      <c r="F13" s="5">
        <v>-1261500.0</v>
      </c>
      <c r="G13" s="19">
        <f t="shared" ref="G13:K13" si="11">(G2*G14)*-1</f>
        <v>-1417546.009</v>
      </c>
      <c r="H13" s="19">
        <f t="shared" si="11"/>
        <v>-1538037.42</v>
      </c>
      <c r="I13" s="19">
        <f t="shared" si="11"/>
        <v>-1673384.713</v>
      </c>
      <c r="J13" s="19">
        <f t="shared" si="11"/>
        <v>-1798888.567</v>
      </c>
      <c r="K13" s="19">
        <f t="shared" si="11"/>
        <v>-1926609.655</v>
      </c>
    </row>
    <row r="14" ht="14.25" customHeight="1">
      <c r="A14" s="12" t="s">
        <v>16</v>
      </c>
      <c r="B14" s="11">
        <f t="shared" ref="B14:C14" si="12">(B13/$C$2)*-1</f>
        <v>0.09972841286</v>
      </c>
      <c r="C14" s="11">
        <f t="shared" si="12"/>
        <v>0.1297256399</v>
      </c>
      <c r="D14" s="11">
        <f>(D13/$D$2)*-1</f>
        <v>0.1427799923</v>
      </c>
      <c r="E14" s="11">
        <f>(E13/$E$2)*-1</f>
        <v>0.1641395655</v>
      </c>
      <c r="F14" s="11">
        <f>(F13/$F$2)*-1</f>
        <v>0.1520916123</v>
      </c>
      <c r="G14" s="11">
        <f>((AVERAGE(D14:F14))*-1)*-1</f>
        <v>0.1530037234</v>
      </c>
      <c r="H14" s="11">
        <v>0.1530037233836374</v>
      </c>
      <c r="I14" s="11">
        <v>0.1530037233836374</v>
      </c>
      <c r="J14" s="11">
        <v>0.1530037233836374</v>
      </c>
      <c r="K14" s="11">
        <v>0.1530037233836374</v>
      </c>
    </row>
    <row r="15" ht="14.25" customHeight="1">
      <c r="A15" s="1" t="s">
        <v>80</v>
      </c>
      <c r="B15" s="68">
        <f t="shared" ref="B15:K15" si="13">B9+B11+B13</f>
        <v>-1260891</v>
      </c>
      <c r="C15" s="68">
        <f t="shared" si="13"/>
        <v>-1528605</v>
      </c>
      <c r="D15" s="68">
        <f t="shared" si="13"/>
        <v>-1771953</v>
      </c>
      <c r="E15" s="68">
        <f t="shared" si="13"/>
        <v>-2038150</v>
      </c>
      <c r="F15" s="68">
        <f t="shared" si="13"/>
        <v>-2098400</v>
      </c>
      <c r="G15" s="68">
        <f t="shared" si="13"/>
        <v>-2387784.954</v>
      </c>
      <c r="H15" s="68">
        <f t="shared" si="13"/>
        <v>-2590746.676</v>
      </c>
      <c r="I15" s="68">
        <f t="shared" si="13"/>
        <v>-2818732.383</v>
      </c>
      <c r="J15" s="68">
        <f t="shared" si="13"/>
        <v>-3030137.312</v>
      </c>
      <c r="K15" s="68">
        <f t="shared" si="13"/>
        <v>-3245277.061</v>
      </c>
    </row>
    <row r="16" ht="14.25" customHeight="1">
      <c r="A16" s="4" t="s">
        <v>88</v>
      </c>
      <c r="B16" s="20">
        <f t="shared" ref="B16:K16" si="14">SUM(B15,B6)</f>
        <v>1847622</v>
      </c>
      <c r="C16" s="20">
        <f t="shared" si="14"/>
        <v>1645962</v>
      </c>
      <c r="D16" s="20">
        <f t="shared" si="14"/>
        <v>2022253</v>
      </c>
      <c r="E16" s="20">
        <f t="shared" si="14"/>
        <v>2010728</v>
      </c>
      <c r="F16" s="20">
        <f t="shared" si="14"/>
        <v>2533795</v>
      </c>
      <c r="G16" s="20">
        <f t="shared" si="14"/>
        <v>2553282.125</v>
      </c>
      <c r="H16" s="20">
        <f t="shared" si="14"/>
        <v>2770311.106</v>
      </c>
      <c r="I16" s="20">
        <f t="shared" si="14"/>
        <v>3014098.483</v>
      </c>
      <c r="J16" s="20">
        <f t="shared" si="14"/>
        <v>3240155.869</v>
      </c>
      <c r="K16" s="20">
        <f t="shared" si="14"/>
        <v>3470206.936</v>
      </c>
    </row>
    <row r="17" ht="14.25" customHeight="1">
      <c r="A17" s="12" t="s">
        <v>16</v>
      </c>
      <c r="B17" s="11">
        <f>((B16/$C$2)*-1)*-1</f>
        <v>0.2927598419</v>
      </c>
      <c r="C17" s="11">
        <f t="shared" ref="C17:K17" si="15">C16/C2</f>
        <v>0.2608063634</v>
      </c>
      <c r="D17" s="11">
        <f t="shared" si="15"/>
        <v>0.2832276405</v>
      </c>
      <c r="E17" s="11">
        <f t="shared" si="15"/>
        <v>0.2683579464</v>
      </c>
      <c r="F17" s="11">
        <f t="shared" si="15"/>
        <v>0.3054847141</v>
      </c>
      <c r="G17" s="11">
        <f t="shared" si="15"/>
        <v>0.275590118</v>
      </c>
      <c r="H17" s="11">
        <f t="shared" si="15"/>
        <v>0.275590118</v>
      </c>
      <c r="I17" s="11">
        <f t="shared" si="15"/>
        <v>0.275590118</v>
      </c>
      <c r="J17" s="11">
        <f t="shared" si="15"/>
        <v>0.275590118</v>
      </c>
      <c r="K17" s="11">
        <f t="shared" si="15"/>
        <v>0.275590118</v>
      </c>
    </row>
    <row r="18" ht="14.25" customHeight="1">
      <c r="A18" s="12"/>
      <c r="B18" s="19"/>
      <c r="C18" s="19"/>
      <c r="D18" s="19"/>
    </row>
    <row r="19" ht="14.25" customHeight="1">
      <c r="A19" s="1" t="s">
        <v>95</v>
      </c>
      <c r="B19" s="5">
        <f>(50155)*-1</f>
        <v>-50155</v>
      </c>
      <c r="C19" s="5">
        <f>(61241)*-1</f>
        <v>-61241</v>
      </c>
      <c r="D19" s="5">
        <f>(68898)*-1</f>
        <v>-68898</v>
      </c>
      <c r="E19" s="5">
        <v>-80434.0</v>
      </c>
      <c r="F19" s="5">
        <v>-114441.0</v>
      </c>
      <c r="G19" s="9">
        <f>-'Depreciation Schedule'!I19</f>
        <v>-124400.3922</v>
      </c>
      <c r="H19" s="9">
        <f>-'Depreciation Schedule'!J19</f>
        <v>-135851.1083</v>
      </c>
      <c r="I19" s="9">
        <f>-'Depreciation Schedule'!K19</f>
        <v>-148309.4873</v>
      </c>
      <c r="J19" s="9">
        <f>-'Depreciation Schedule'!L19</f>
        <v>-161702.2448</v>
      </c>
      <c r="K19" s="9">
        <f>-'Depreciation Schedule'!M19</f>
        <v>-176045.8881</v>
      </c>
    </row>
    <row r="20" ht="14.25" hidden="1" customHeight="1" outlineLevel="1">
      <c r="A20" s="1" t="s">
        <v>100</v>
      </c>
      <c r="B20" s="5">
        <v>-4400.0</v>
      </c>
      <c r="C20" s="5">
        <v>-7600.0</v>
      </c>
      <c r="D20" s="5">
        <v>-5900.0</v>
      </c>
      <c r="E20" s="5">
        <v>-7500.0</v>
      </c>
      <c r="F20" s="5">
        <v>-19300.0</v>
      </c>
      <c r="G20" s="90"/>
      <c r="H20" s="90"/>
      <c r="I20" s="90"/>
      <c r="J20" s="90"/>
      <c r="K20" s="90"/>
    </row>
    <row r="21" ht="14.25" customHeight="1" outlineLevel="1">
      <c r="A21" s="12" t="s">
        <v>16</v>
      </c>
      <c r="B21" s="11">
        <f t="shared" ref="B21:K21" si="16">-B19/B2</f>
        <v>0.009051040252</v>
      </c>
      <c r="C21" s="11">
        <f t="shared" si="16"/>
        <v>0.00970377354</v>
      </c>
      <c r="D21" s="11">
        <f t="shared" si="16"/>
        <v>0.009649543342</v>
      </c>
      <c r="E21" s="11">
        <f t="shared" si="16"/>
        <v>0.01073496915</v>
      </c>
      <c r="F21" s="11">
        <f t="shared" si="16"/>
        <v>0.01379747618</v>
      </c>
      <c r="G21" s="11">
        <f t="shared" si="16"/>
        <v>0.01342723486</v>
      </c>
      <c r="H21" s="11">
        <f t="shared" si="16"/>
        <v>0.01351444712</v>
      </c>
      <c r="I21" s="11">
        <f t="shared" si="16"/>
        <v>0.0135604823</v>
      </c>
      <c r="J21" s="11">
        <f t="shared" si="16"/>
        <v>0.01375351759</v>
      </c>
      <c r="K21" s="11">
        <f t="shared" si="16"/>
        <v>0.01398086857</v>
      </c>
    </row>
    <row r="22" ht="14.25" customHeight="1">
      <c r="A22" s="4" t="s">
        <v>30</v>
      </c>
      <c r="B22" s="20">
        <f t="shared" ref="B22:K22" si="17">SUM(B16,B19)</f>
        <v>1797467</v>
      </c>
      <c r="C22" s="20">
        <f t="shared" si="17"/>
        <v>1584721</v>
      </c>
      <c r="D22" s="20">
        <f t="shared" si="17"/>
        <v>1953355</v>
      </c>
      <c r="E22" s="20">
        <f t="shared" si="17"/>
        <v>1930294</v>
      </c>
      <c r="F22" s="20">
        <f t="shared" si="17"/>
        <v>2419354</v>
      </c>
      <c r="G22" s="20">
        <f t="shared" si="17"/>
        <v>2428881.733</v>
      </c>
      <c r="H22" s="20">
        <f t="shared" si="17"/>
        <v>2634459.998</v>
      </c>
      <c r="I22" s="20">
        <f t="shared" si="17"/>
        <v>2865788.996</v>
      </c>
      <c r="J22" s="20">
        <f t="shared" si="17"/>
        <v>3078453.625</v>
      </c>
      <c r="K22" s="20">
        <f t="shared" si="17"/>
        <v>3294161.048</v>
      </c>
    </row>
    <row r="23" ht="14.25" customHeight="1">
      <c r="A23" s="12" t="s">
        <v>16</v>
      </c>
      <c r="B23" s="11">
        <f t="shared" ref="B23:K23" si="18">B22/B2</f>
        <v>0.3243733659</v>
      </c>
      <c r="C23" s="11">
        <f t="shared" si="18"/>
        <v>0.2511025899</v>
      </c>
      <c r="D23" s="11">
        <f t="shared" si="18"/>
        <v>0.2735780971</v>
      </c>
      <c r="E23" s="11">
        <f t="shared" si="18"/>
        <v>0.2576229772</v>
      </c>
      <c r="F23" s="11">
        <f t="shared" si="18"/>
        <v>0.2916872379</v>
      </c>
      <c r="G23" s="11">
        <f t="shared" si="18"/>
        <v>0.2621628831</v>
      </c>
      <c r="H23" s="11">
        <f t="shared" si="18"/>
        <v>0.2620756709</v>
      </c>
      <c r="I23" s="11">
        <f t="shared" si="18"/>
        <v>0.2620296357</v>
      </c>
      <c r="J23" s="11">
        <f t="shared" si="18"/>
        <v>0.2618366004</v>
      </c>
      <c r="K23" s="11">
        <f t="shared" si="18"/>
        <v>0.2616092494</v>
      </c>
    </row>
    <row r="24" ht="14.25" customHeight="1">
      <c r="A24" s="12"/>
      <c r="B24" s="19"/>
      <c r="C24" s="19"/>
      <c r="D24" s="19"/>
    </row>
    <row r="25" ht="14.25" customHeight="1">
      <c r="A25" s="92" t="s">
        <v>116</v>
      </c>
      <c r="B25" s="13">
        <v>3952.0</v>
      </c>
      <c r="C25" s="13">
        <v>-12757.0</v>
      </c>
      <c r="D25" s="13">
        <v>115127.0</v>
      </c>
      <c r="E25" s="13">
        <v>59165.0</v>
      </c>
      <c r="F25" s="13">
        <v>63175.0</v>
      </c>
      <c r="G25" s="9" t="str">
        <f>'Debt Schedule'!G30-'Debt Schedule'!G28</f>
        <v>#REF!</v>
      </c>
      <c r="H25" s="9" t="str">
        <f>'Debt Schedule'!H30-'Debt Schedule'!H28</f>
        <v>#REF!</v>
      </c>
      <c r="I25" s="9" t="str">
        <f>'Debt Schedule'!I30-'Debt Schedule'!I28</f>
        <v>#REF!</v>
      </c>
      <c r="J25" s="9" t="str">
        <f>'Debt Schedule'!J30-'Debt Schedule'!J28</f>
        <v>#REF!</v>
      </c>
      <c r="K25" s="9" t="str">
        <f>'Debt Schedule'!K30-'Debt Schedule'!K28</f>
        <v>#REF!</v>
      </c>
    </row>
    <row r="26" ht="14.25" customHeight="1">
      <c r="A26" s="23" t="s">
        <v>123</v>
      </c>
      <c r="B26" s="20">
        <f t="shared" ref="B26:F26" si="19">B22+B25</f>
        <v>1801419</v>
      </c>
      <c r="C26" s="20">
        <f t="shared" si="19"/>
        <v>1571964</v>
      </c>
      <c r="D26" s="20">
        <f t="shared" si="19"/>
        <v>2068482</v>
      </c>
      <c r="E26" s="20">
        <f t="shared" si="19"/>
        <v>1989459</v>
      </c>
      <c r="F26" s="20">
        <f t="shared" si="19"/>
        <v>2482529</v>
      </c>
      <c r="G26" s="20" t="str">
        <f t="shared" ref="G26:K26" si="20">G25+G22</f>
        <v>#REF!</v>
      </c>
      <c r="H26" s="20" t="str">
        <f t="shared" si="20"/>
        <v>#REF!</v>
      </c>
      <c r="I26" s="20" t="str">
        <f t="shared" si="20"/>
        <v>#REF!</v>
      </c>
      <c r="J26" s="20" t="str">
        <f t="shared" si="20"/>
        <v>#REF!</v>
      </c>
      <c r="K26" s="20" t="str">
        <f t="shared" si="20"/>
        <v>#REF!</v>
      </c>
    </row>
    <row r="27" ht="14.25" customHeight="1">
      <c r="A27" s="12" t="s">
        <v>16</v>
      </c>
      <c r="B27" s="11">
        <f>(B26/$C$2)</f>
        <v>0.2854388731</v>
      </c>
      <c r="C27" s="11">
        <f>C26/$C$2</f>
        <v>0.2490812147</v>
      </c>
      <c r="D27" s="11">
        <f>D26/$D$2</f>
        <v>0.2897022658</v>
      </c>
      <c r="E27" s="11">
        <f>E26/$E$2</f>
        <v>0.2655193202</v>
      </c>
      <c r="F27" s="11">
        <f>F26/$F$2</f>
        <v>0.2993038749</v>
      </c>
      <c r="G27" s="11" t="str">
        <f t="shared" ref="G27:K27" si="21">G26/G2</f>
        <v>#REF!</v>
      </c>
      <c r="H27" s="11" t="str">
        <f t="shared" si="21"/>
        <v>#REF!</v>
      </c>
      <c r="I27" s="11" t="str">
        <f t="shared" si="21"/>
        <v>#REF!</v>
      </c>
      <c r="J27" s="11" t="str">
        <f t="shared" si="21"/>
        <v>#REF!</v>
      </c>
      <c r="K27" s="11" t="str">
        <f t="shared" si="21"/>
        <v>#REF!</v>
      </c>
    </row>
    <row r="28" ht="14.25" customHeight="1"/>
    <row r="29" ht="14.25" customHeight="1">
      <c r="A29" s="1" t="s">
        <v>127</v>
      </c>
      <c r="B29" s="5">
        <v>-423944.0</v>
      </c>
      <c r="C29" s="5">
        <v>-380340.0</v>
      </c>
      <c r="D29" s="5">
        <v>-437494.0</v>
      </c>
      <c r="E29" s="5">
        <v>-480411.0</v>
      </c>
      <c r="F29" s="5">
        <v>-577097.0</v>
      </c>
      <c r="G29" s="19" t="str">
        <f t="shared" ref="G29:K29" si="22">(G30*G26)*-1</f>
        <v>#REF!</v>
      </c>
      <c r="H29" s="19" t="str">
        <f t="shared" si="22"/>
        <v>#REF!</v>
      </c>
      <c r="I29" s="19" t="str">
        <f t="shared" si="22"/>
        <v>#REF!</v>
      </c>
      <c r="J29" s="19" t="str">
        <f t="shared" si="22"/>
        <v>#REF!</v>
      </c>
      <c r="K29" s="19" t="str">
        <f t="shared" si="22"/>
        <v>#REF!</v>
      </c>
      <c r="O29" s="11"/>
    </row>
    <row r="30" ht="14.25" customHeight="1">
      <c r="A30" s="12" t="s">
        <v>129</v>
      </c>
      <c r="B30" s="11">
        <f>(B29/$C$2)*-1</f>
        <v>0.06717487581</v>
      </c>
      <c r="C30" s="11">
        <f t="shared" ref="C30:F30" si="23">(C29/C26)*-1</f>
        <v>0.2419521058</v>
      </c>
      <c r="D30" s="11">
        <f t="shared" si="23"/>
        <v>0.211504862</v>
      </c>
      <c r="E30" s="11">
        <f t="shared" si="23"/>
        <v>0.2414782109</v>
      </c>
      <c r="F30" s="11">
        <f t="shared" si="23"/>
        <v>0.2324633469</v>
      </c>
      <c r="G30" s="16">
        <v>0.21</v>
      </c>
      <c r="H30" s="16">
        <v>0.21</v>
      </c>
      <c r="I30" s="16">
        <v>0.21</v>
      </c>
      <c r="J30" s="16">
        <v>0.21</v>
      </c>
      <c r="K30" s="16">
        <v>0.21</v>
      </c>
    </row>
    <row r="31" ht="14.25" customHeight="1">
      <c r="A31" s="1" t="s">
        <v>131</v>
      </c>
      <c r="B31" s="53">
        <f t="shared" ref="B31:K31" si="24">SUM(B29,B26)</f>
        <v>1377475</v>
      </c>
      <c r="C31" s="53">
        <f t="shared" si="24"/>
        <v>1191624</v>
      </c>
      <c r="D31" s="53">
        <f t="shared" si="24"/>
        <v>1630988</v>
      </c>
      <c r="E31" s="53">
        <f t="shared" si="24"/>
        <v>1509048</v>
      </c>
      <c r="F31" s="53">
        <f t="shared" si="24"/>
        <v>1905432</v>
      </c>
      <c r="G31" s="53" t="str">
        <f t="shared" si="24"/>
        <v>#REF!</v>
      </c>
      <c r="H31" s="53" t="str">
        <f t="shared" si="24"/>
        <v>#REF!</v>
      </c>
      <c r="I31" s="53" t="str">
        <f t="shared" si="24"/>
        <v>#REF!</v>
      </c>
      <c r="J31" s="53" t="str">
        <f t="shared" si="24"/>
        <v>#REF!</v>
      </c>
      <c r="K31" s="53" t="str">
        <f t="shared" si="24"/>
        <v>#REF!</v>
      </c>
      <c r="M31" s="11"/>
    </row>
    <row r="32" ht="14.25" customHeight="1">
      <c r="A32" s="12" t="s">
        <v>16</v>
      </c>
      <c r="B32" s="11">
        <f t="shared" ref="B32:K32" si="25">B31/B2</f>
        <v>0.2485810322</v>
      </c>
      <c r="C32" s="11">
        <f t="shared" si="25"/>
        <v>0.1888154903</v>
      </c>
      <c r="D32" s="11">
        <f t="shared" si="25"/>
        <v>0.2284288281</v>
      </c>
      <c r="E32" s="11">
        <f t="shared" si="25"/>
        <v>0.2014021898</v>
      </c>
      <c r="F32" s="11">
        <f t="shared" si="25"/>
        <v>0.2297266944</v>
      </c>
      <c r="G32" s="11" t="str">
        <f t="shared" si="25"/>
        <v>#REF!</v>
      </c>
      <c r="H32" s="11" t="str">
        <f t="shared" si="25"/>
        <v>#REF!</v>
      </c>
      <c r="I32" s="11" t="str">
        <f t="shared" si="25"/>
        <v>#REF!</v>
      </c>
      <c r="J32" s="11" t="str">
        <f t="shared" si="25"/>
        <v>#REF!</v>
      </c>
      <c r="K32" s="11" t="str">
        <f t="shared" si="25"/>
        <v>#REF!</v>
      </c>
    </row>
    <row r="33" ht="14.25" customHeight="1"/>
    <row r="34" ht="14.25" customHeight="1">
      <c r="A34" s="1" t="s">
        <v>136</v>
      </c>
      <c r="B34" s="93">
        <f t="shared" ref="B34:K34" si="26">B31/B37</f>
        <v>1.302544807</v>
      </c>
      <c r="C34" s="93">
        <f t="shared" si="26"/>
        <v>1.131047365</v>
      </c>
      <c r="D34" s="93">
        <f t="shared" si="26"/>
        <v>1.560922856</v>
      </c>
      <c r="E34" s="93">
        <f t="shared" si="26"/>
        <v>1.502189005</v>
      </c>
      <c r="F34" s="93">
        <f t="shared" si="26"/>
        <v>0.9762564723</v>
      </c>
      <c r="G34" s="93" t="str">
        <f t="shared" si="26"/>
        <v>#REF!</v>
      </c>
      <c r="H34" s="93" t="str">
        <f t="shared" si="26"/>
        <v>#REF!</v>
      </c>
      <c r="I34" s="93" t="str">
        <f t="shared" si="26"/>
        <v>#REF!</v>
      </c>
      <c r="J34" s="93" t="str">
        <f t="shared" si="26"/>
        <v>#REF!</v>
      </c>
      <c r="K34" s="93" t="str">
        <f t="shared" si="26"/>
        <v>#REF!</v>
      </c>
    </row>
    <row r="35" ht="14.25" customHeight="1">
      <c r="A35" s="1" t="s">
        <v>138</v>
      </c>
      <c r="B35" s="93">
        <f t="shared" ref="B35:K35" si="27">B31/B38</f>
        <v>1.285824034</v>
      </c>
      <c r="C35" s="93">
        <f t="shared" si="27"/>
        <v>1.117382849</v>
      </c>
      <c r="D35" s="93">
        <f t="shared" si="27"/>
        <v>1.541604244</v>
      </c>
      <c r="E35" s="93">
        <f t="shared" si="27"/>
        <v>1.489524798</v>
      </c>
      <c r="F35" s="93">
        <f t="shared" si="27"/>
        <v>0.9677637587</v>
      </c>
      <c r="G35" s="93" t="str">
        <f t="shared" si="27"/>
        <v>#REF!</v>
      </c>
      <c r="H35" s="93" t="str">
        <f t="shared" si="27"/>
        <v>#REF!</v>
      </c>
      <c r="I35" s="93" t="str">
        <f t="shared" si="27"/>
        <v>#REF!</v>
      </c>
      <c r="J35" s="93" t="str">
        <f t="shared" si="27"/>
        <v>#REF!</v>
      </c>
      <c r="K35" s="93" t="str">
        <f t="shared" si="27"/>
        <v>#REF!</v>
      </c>
    </row>
    <row r="36" ht="14.25" customHeight="1"/>
    <row r="37" ht="14.25" customHeight="1">
      <c r="A37" s="1" t="s">
        <v>136</v>
      </c>
      <c r="B37" s="19">
        <v>1057526.0</v>
      </c>
      <c r="C37" s="19">
        <v>1053558.0</v>
      </c>
      <c r="D37" s="19">
        <v>1044887.0</v>
      </c>
      <c r="E37" s="19">
        <v>1004566.0</v>
      </c>
      <c r="F37" s="19">
        <f>975887*2</f>
        <v>1951774</v>
      </c>
      <c r="G37" s="19">
        <f t="shared" ref="G37:G38" si="28">AVERAGE(B37:F37)</f>
        <v>1222462.2</v>
      </c>
      <c r="H37" s="19">
        <v>1222462.2</v>
      </c>
      <c r="I37" s="19">
        <v>1222462.2</v>
      </c>
      <c r="J37" s="19">
        <v>1222462.2</v>
      </c>
      <c r="K37" s="19">
        <v>1222462.2</v>
      </c>
    </row>
    <row r="38" ht="14.25" customHeight="1">
      <c r="A38" s="1" t="s">
        <v>138</v>
      </c>
      <c r="B38" s="19">
        <v>1071278.0</v>
      </c>
      <c r="C38" s="19">
        <v>1066442.0</v>
      </c>
      <c r="D38" s="19">
        <v>1057981.0</v>
      </c>
      <c r="E38" s="19">
        <v>1013107.0</v>
      </c>
      <c r="F38" s="19">
        <f>984451*2</f>
        <v>1968902</v>
      </c>
      <c r="G38" s="19">
        <f t="shared" si="28"/>
        <v>1235542</v>
      </c>
      <c r="H38" s="19">
        <v>1235542.0</v>
      </c>
      <c r="I38" s="19">
        <v>1235542.0</v>
      </c>
      <c r="J38" s="19">
        <v>1235542.0</v>
      </c>
      <c r="K38" s="19">
        <v>1235542.0</v>
      </c>
    </row>
    <row r="39" ht="14.25" customHeight="1">
      <c r="A39" s="4"/>
      <c r="B39" s="19"/>
      <c r="C39" s="19"/>
      <c r="D39" s="19"/>
    </row>
    <row r="40" ht="14.25" customHeight="1"/>
    <row r="41" ht="14.25" customHeight="1">
      <c r="A41" s="4"/>
    </row>
    <row r="42" ht="14.25" customHeight="1">
      <c r="A42" s="4"/>
      <c r="B42" s="19"/>
      <c r="C42" s="19"/>
      <c r="D42" s="19"/>
    </row>
    <row r="43" ht="14.25" customHeight="1"/>
    <row r="44" ht="14.25" customHeight="1">
      <c r="B44" s="5"/>
      <c r="C44" s="5"/>
      <c r="D44" s="5"/>
    </row>
    <row r="45" ht="14.25" customHeight="1">
      <c r="B45" s="5"/>
      <c r="C45" s="5"/>
      <c r="D45" s="5"/>
    </row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 outlineLevelRow="1"/>
  <cols>
    <col customWidth="1" min="1" max="1" width="70.86"/>
    <col customWidth="1" min="2" max="11" width="15.71"/>
    <col customWidth="1" min="12" max="26" width="8.71"/>
  </cols>
  <sheetData>
    <row r="1" ht="14.25" customHeight="1">
      <c r="A1" s="1" t="s">
        <v>0</v>
      </c>
      <c r="B1" s="2">
        <v>2021.0</v>
      </c>
      <c r="C1" s="2">
        <v>2022.0</v>
      </c>
      <c r="D1" s="2">
        <v>2023.0</v>
      </c>
      <c r="E1" s="2">
        <f t="shared" ref="E1:K1" si="1">D1+1</f>
        <v>2024</v>
      </c>
      <c r="F1" s="2">
        <f t="shared" si="1"/>
        <v>2025</v>
      </c>
      <c r="G1" s="3">
        <f t="shared" si="1"/>
        <v>2026</v>
      </c>
      <c r="H1" s="3">
        <f t="shared" si="1"/>
        <v>2027</v>
      </c>
      <c r="I1" s="3">
        <f t="shared" si="1"/>
        <v>2028</v>
      </c>
      <c r="J1" s="3">
        <f t="shared" si="1"/>
        <v>2029</v>
      </c>
      <c r="K1" s="3">
        <f t="shared" si="1"/>
        <v>2030</v>
      </c>
    </row>
    <row r="2" ht="14.25" customHeight="1">
      <c r="A2" s="4" t="s">
        <v>3</v>
      </c>
    </row>
    <row r="3" ht="14.25" customHeight="1">
      <c r="A3" s="1" t="s">
        <v>5</v>
      </c>
      <c r="B3" s="5">
        <f>I.S!B31</f>
        <v>1377475</v>
      </c>
      <c r="C3" s="5">
        <f>I.S!C31</f>
        <v>1191624</v>
      </c>
      <c r="D3" s="5">
        <f>I.S!D31</f>
        <v>1630988</v>
      </c>
      <c r="E3" s="5">
        <f>I.S!E31</f>
        <v>1509048</v>
      </c>
      <c r="F3" s="5">
        <f>I.S!F31</f>
        <v>1905432</v>
      </c>
      <c r="G3" s="8" t="str">
        <f>I.S!G31</f>
        <v>#REF!</v>
      </c>
      <c r="H3" s="5" t="str">
        <f>I.S!H31</f>
        <v>#REF!</v>
      </c>
      <c r="I3" s="5" t="str">
        <f>I.S!I31</f>
        <v>#REF!</v>
      </c>
      <c r="J3" s="5" t="str">
        <f>I.S!J31</f>
        <v>#REF!</v>
      </c>
      <c r="K3" s="5" t="str">
        <f>I.S!K31</f>
        <v>#REF!</v>
      </c>
    </row>
    <row r="4" ht="14.25" customHeight="1">
      <c r="A4" s="1" t="s">
        <v>9</v>
      </c>
      <c r="B4" s="5">
        <v>50155.0</v>
      </c>
      <c r="C4" s="5">
        <v>61241.0</v>
      </c>
      <c r="D4" s="5">
        <v>68898.0</v>
      </c>
      <c r="E4" s="5">
        <v>80434.0</v>
      </c>
      <c r="F4" s="5">
        <v>114441.0</v>
      </c>
      <c r="G4" s="10">
        <f>I.S!G19</f>
        <v>-124400.3922</v>
      </c>
      <c r="H4" s="9">
        <f>I.S!H19</f>
        <v>-135851.1083</v>
      </c>
      <c r="I4" s="9">
        <f>I.S!I19</f>
        <v>-148309.4873</v>
      </c>
      <c r="J4" s="9">
        <f>I.S!J19</f>
        <v>-161702.2448</v>
      </c>
      <c r="K4" s="9">
        <f>I.S!K19</f>
        <v>-176045.8881</v>
      </c>
    </row>
    <row r="5" ht="14.25" customHeight="1">
      <c r="A5" s="1" t="s">
        <v>12</v>
      </c>
      <c r="B5" s="5">
        <v>4107.0</v>
      </c>
      <c r="C5" s="5">
        <v>7337.0</v>
      </c>
      <c r="D5" s="5">
        <v>9043.0</v>
      </c>
      <c r="E5" s="5">
        <v>13521.0</v>
      </c>
      <c r="F5" s="5">
        <v>15398.0</v>
      </c>
      <c r="G5" s="14">
        <f t="shared" ref="G5:K5" si="2">F5*(G6+1)</f>
        <v>17535.56719</v>
      </c>
      <c r="H5" s="17">
        <f t="shared" si="2"/>
        <v>19969.8738</v>
      </c>
      <c r="I5" s="17">
        <f t="shared" si="2"/>
        <v>22742.11351</v>
      </c>
      <c r="J5" s="17">
        <f t="shared" si="2"/>
        <v>25899.19856</v>
      </c>
      <c r="K5" s="17">
        <f t="shared" si="2"/>
        <v>29494.55362</v>
      </c>
    </row>
    <row r="6" ht="14.25" customHeight="1">
      <c r="A6" s="12" t="s">
        <v>15</v>
      </c>
      <c r="B6" s="18"/>
      <c r="C6" s="18">
        <f t="shared" ref="C6:F6" si="3">C5/B5-1</f>
        <v>0.7864621378</v>
      </c>
      <c r="D6" s="18">
        <f t="shared" si="3"/>
        <v>0.2325201036</v>
      </c>
      <c r="E6" s="18">
        <f t="shared" si="3"/>
        <v>0.4951896495</v>
      </c>
      <c r="F6" s="18">
        <f t="shared" si="3"/>
        <v>0.1388210931</v>
      </c>
      <c r="G6" s="11">
        <f t="shared" ref="G6:K6" si="4">F6</f>
        <v>0.1388210931</v>
      </c>
      <c r="H6" s="11">
        <f t="shared" si="4"/>
        <v>0.1388210931</v>
      </c>
      <c r="I6" s="11">
        <f t="shared" si="4"/>
        <v>0.1388210931</v>
      </c>
      <c r="J6" s="11">
        <f t="shared" si="4"/>
        <v>0.1388210931</v>
      </c>
      <c r="K6" s="11">
        <f t="shared" si="4"/>
        <v>0.1388210931</v>
      </c>
    </row>
    <row r="7" ht="14.25" customHeight="1">
      <c r="A7" s="1" t="s">
        <v>18</v>
      </c>
      <c r="B7" s="5">
        <v>-1013.0</v>
      </c>
      <c r="C7" s="5">
        <v>-185.0</v>
      </c>
      <c r="D7" s="5">
        <v>166.0</v>
      </c>
      <c r="E7" s="5">
        <v>3328.0</v>
      </c>
      <c r="F7" s="5">
        <v>2781.0</v>
      </c>
      <c r="G7" s="8">
        <v>3328.0</v>
      </c>
      <c r="H7" s="5">
        <v>2781.0</v>
      </c>
      <c r="I7" s="5">
        <v>3328.0</v>
      </c>
      <c r="J7" s="5">
        <v>2781.0</v>
      </c>
      <c r="K7" s="5">
        <v>3328.0</v>
      </c>
      <c r="L7" s="5"/>
    </row>
    <row r="8" ht="14.25" customHeight="1">
      <c r="A8" s="1" t="s">
        <v>19</v>
      </c>
      <c r="B8" s="5">
        <v>0.0</v>
      </c>
      <c r="C8" s="5">
        <v>0.0</v>
      </c>
      <c r="D8" s="5">
        <v>-45382.0</v>
      </c>
      <c r="E8" s="5" t="s">
        <v>20</v>
      </c>
      <c r="F8" s="5" t="s">
        <v>20</v>
      </c>
      <c r="G8" s="8">
        <v>0.0</v>
      </c>
      <c r="H8" s="5">
        <v>0.0</v>
      </c>
      <c r="I8" s="5">
        <v>0.0</v>
      </c>
      <c r="J8" s="5">
        <v>0.0</v>
      </c>
      <c r="K8" s="5">
        <v>0.0</v>
      </c>
    </row>
    <row r="9" ht="14.25" customHeight="1">
      <c r="A9" s="1" t="s">
        <v>21</v>
      </c>
      <c r="B9" s="5">
        <v>0.0</v>
      </c>
      <c r="C9" s="5">
        <v>2200.0</v>
      </c>
      <c r="D9" s="5">
        <v>38700.0</v>
      </c>
      <c r="E9" s="5">
        <v>127098.0</v>
      </c>
      <c r="F9" s="5">
        <v>38411.0</v>
      </c>
      <c r="G9" s="10">
        <f t="shared" ref="G9:K9" si="5">F9</f>
        <v>38411</v>
      </c>
      <c r="H9" s="19">
        <f t="shared" si="5"/>
        <v>38411</v>
      </c>
      <c r="I9" s="19">
        <f t="shared" si="5"/>
        <v>38411</v>
      </c>
      <c r="J9" s="19">
        <f t="shared" si="5"/>
        <v>38411</v>
      </c>
      <c r="K9" s="19">
        <f t="shared" si="5"/>
        <v>38411</v>
      </c>
    </row>
    <row r="10" ht="14.25" customHeight="1">
      <c r="A10" s="1" t="s">
        <v>23</v>
      </c>
      <c r="B10" s="5">
        <v>0.0</v>
      </c>
      <c r="C10" s="5">
        <v>0.0</v>
      </c>
      <c r="D10" s="5">
        <v>4336.0</v>
      </c>
      <c r="E10" s="5">
        <v>8184.0</v>
      </c>
      <c r="F10" s="5">
        <v>12029.0</v>
      </c>
      <c r="G10" s="10">
        <f t="shared" ref="G10:K10" si="6">F10</f>
        <v>12029</v>
      </c>
      <c r="H10" s="19">
        <f t="shared" si="6"/>
        <v>12029</v>
      </c>
      <c r="I10" s="19">
        <f t="shared" si="6"/>
        <v>12029</v>
      </c>
      <c r="J10" s="19">
        <f t="shared" si="6"/>
        <v>12029</v>
      </c>
      <c r="K10" s="19">
        <f t="shared" si="6"/>
        <v>12029</v>
      </c>
    </row>
    <row r="11" ht="14.25" customHeight="1">
      <c r="A11" s="1" t="s">
        <v>25</v>
      </c>
      <c r="B11" s="5">
        <v>70483.0</v>
      </c>
      <c r="C11" s="5">
        <v>64108.0</v>
      </c>
      <c r="D11" s="5">
        <v>68836.0</v>
      </c>
      <c r="E11" s="5">
        <v>90985.0</v>
      </c>
      <c r="F11" s="5">
        <v>125687.0</v>
      </c>
      <c r="G11" s="10">
        <f>(G12*I.S!G15)*-1</f>
        <v>115197.8947</v>
      </c>
      <c r="H11" s="19">
        <f>(H12*I.S!H15)*-1</f>
        <v>124989.7228</v>
      </c>
      <c r="I11" s="19">
        <f>(I12*I.S!I15)*-1</f>
        <v>135988.8184</v>
      </c>
      <c r="J11" s="19">
        <f>(J12*I.S!J15)*-1</f>
        <v>146187.9798</v>
      </c>
      <c r="K11" s="19">
        <f>(K12*I.S!K15)*-1</f>
        <v>156567.3263</v>
      </c>
    </row>
    <row r="12" ht="14.25" customHeight="1">
      <c r="A12" s="12" t="s">
        <v>28</v>
      </c>
      <c r="B12" s="21">
        <f>B11/-I.S!B15</f>
        <v>0.05589936006</v>
      </c>
      <c r="C12" s="21">
        <f>C11/-I.S!C15</f>
        <v>0.041938892</v>
      </c>
      <c r="D12" s="21">
        <f>D11/-I.S!D15</f>
        <v>0.03884753151</v>
      </c>
      <c r="E12" s="21">
        <f>E11/-I.S!E15</f>
        <v>0.04464097343</v>
      </c>
      <c r="F12" s="21">
        <f>F11/-I.S!F15</f>
        <v>0.05989658788</v>
      </c>
      <c r="G12" s="11">
        <f>AVERAGE(B12:F12)</f>
        <v>0.04824466897</v>
      </c>
      <c r="H12" s="11">
        <v>0.04824467168848534</v>
      </c>
      <c r="I12" s="11">
        <v>0.04824467168848534</v>
      </c>
      <c r="J12" s="11">
        <v>0.04824467168848534</v>
      </c>
      <c r="K12" s="11">
        <v>0.04824467168848534</v>
      </c>
    </row>
    <row r="13" ht="14.25" customHeight="1">
      <c r="A13" s="1" t="s">
        <v>35</v>
      </c>
      <c r="B13" s="5">
        <v>16429.0</v>
      </c>
      <c r="C13" s="5">
        <v>48182.0</v>
      </c>
      <c r="D13" s="5">
        <v>2040.0</v>
      </c>
      <c r="E13" s="5">
        <v>-11705.0</v>
      </c>
      <c r="F13" s="5">
        <v>4210.0</v>
      </c>
      <c r="G13" s="8">
        <f>'Depreciation Schedule'!I40</f>
        <v>8174.890251</v>
      </c>
      <c r="H13" s="9">
        <f>'Depreciation Schedule'!J40</f>
        <v>8553.457408</v>
      </c>
      <c r="I13" s="9">
        <f>'Depreciation Schedule'!K40</f>
        <v>4278.105038</v>
      </c>
      <c r="J13" s="9">
        <f>'Depreciation Schedule'!L40</f>
        <v>530.2207955</v>
      </c>
      <c r="K13" s="9">
        <f>'Depreciation Schedule'!M40</f>
        <v>-483.59694</v>
      </c>
      <c r="L13" s="5"/>
    </row>
    <row r="14" ht="14.25" customHeight="1">
      <c r="A14" s="23" t="s">
        <v>40</v>
      </c>
      <c r="B14" s="5">
        <v>492.0</v>
      </c>
      <c r="C14" s="5">
        <v>-4540.0</v>
      </c>
      <c r="D14" s="5">
        <v>22951.0</v>
      </c>
      <c r="E14" s="5">
        <v>13390.0</v>
      </c>
      <c r="F14" s="5">
        <v>-4935.0</v>
      </c>
      <c r="G14" s="8">
        <v>13390.0</v>
      </c>
      <c r="H14" s="5">
        <v>-4935.0</v>
      </c>
      <c r="I14" s="5">
        <v>13390.0</v>
      </c>
      <c r="J14" s="5">
        <v>-4935.0</v>
      </c>
      <c r="K14" s="5">
        <v>13390.0</v>
      </c>
      <c r="L14" s="5"/>
    </row>
    <row r="15" ht="14.25" customHeight="1">
      <c r="A15" s="4" t="s">
        <v>42</v>
      </c>
      <c r="B15" s="5"/>
      <c r="C15" s="5"/>
      <c r="D15" s="5"/>
      <c r="E15" s="5"/>
      <c r="F15" s="5"/>
    </row>
    <row r="16" ht="14.25" customHeight="1">
      <c r="A16" s="1" t="s">
        <v>43</v>
      </c>
      <c r="B16" s="5">
        <v>-254228.0</v>
      </c>
      <c r="C16" s="5">
        <v>-128981.0</v>
      </c>
      <c r="D16" s="5">
        <v>-163158.0</v>
      </c>
      <c r="E16" s="5">
        <v>-93915.0</v>
      </c>
      <c r="F16" s="5">
        <v>-300600.0</v>
      </c>
      <c r="G16" s="10">
        <f>('Working Capital Schedule'!G4-'Working Capital Schedule'!F4)*-1</f>
        <v>113612.3418</v>
      </c>
      <c r="H16" s="9">
        <f>('Working Capital Schedule'!H4-'Working Capital Schedule'!G4)*-1</f>
        <v>-127879.071</v>
      </c>
      <c r="I16" s="9">
        <f>('Working Capital Schedule'!I4-'Working Capital Schedule'!H4)*-1</f>
        <v>-143645.8082</v>
      </c>
      <c r="J16" s="9">
        <f>('Working Capital Schedule'!J4-'Working Capital Schedule'!I4)*-1</f>
        <v>-133198.8403</v>
      </c>
      <c r="K16" s="9">
        <f>('Working Capital Schedule'!K4-'Working Capital Schedule'!J4)*-1</f>
        <v>-135552.0198</v>
      </c>
    </row>
    <row r="17" ht="14.25" customHeight="1">
      <c r="A17" s="1" t="s">
        <v>17</v>
      </c>
      <c r="B17" s="5">
        <v>-277793.0</v>
      </c>
      <c r="C17" s="5">
        <v>-347712.0</v>
      </c>
      <c r="D17" s="5">
        <v>7898.0</v>
      </c>
      <c r="E17" s="5">
        <v>211503.0</v>
      </c>
      <c r="F17" s="5">
        <v>-34918.0</v>
      </c>
      <c r="G17" s="10">
        <f>('Working Capital Schedule'!G6-'Working Capital Schedule'!F6)*-1</f>
        <v>-107546.9306</v>
      </c>
      <c r="H17" s="9">
        <f>('Working Capital Schedule'!H6-'Working Capital Schedule'!G6)*-1</f>
        <v>-77109.4441</v>
      </c>
      <c r="I17" s="9">
        <f>('Working Capital Schedule'!I6-'Working Capital Schedule'!H6)*-1</f>
        <v>-86616.58498</v>
      </c>
      <c r="J17" s="9">
        <f>('Working Capital Schedule'!J6-'Working Capital Schedule'!I6)*-1</f>
        <v>-80317.19698</v>
      </c>
      <c r="K17" s="9">
        <f>('Working Capital Schedule'!K6-'Working Capital Schedule'!J6)*-1</f>
        <v>-81736.13412</v>
      </c>
    </row>
    <row r="18" ht="14.25" customHeight="1">
      <c r="A18" s="1" t="s">
        <v>58</v>
      </c>
      <c r="B18" s="5">
        <v>-29341.0</v>
      </c>
      <c r="C18" s="5">
        <v>-38268.0</v>
      </c>
      <c r="D18" s="5">
        <v>-10215.0</v>
      </c>
      <c r="E18" s="5">
        <v>8959.0</v>
      </c>
      <c r="F18" s="5">
        <v>-39307.0</v>
      </c>
      <c r="G18" s="10">
        <f>('Working Capital Schedule'!G8-'Working Capital Schedule'!F8)*-1</f>
        <v>-16391.83969</v>
      </c>
      <c r="H18" s="9">
        <f>('Working Capital Schedule'!H8-'Working Capital Schedule'!G8)*-1</f>
        <v>-10195.14763</v>
      </c>
      <c r="I18" s="9">
        <f>('Working Capital Schedule'!I8-'Working Capital Schedule'!H8)*-1</f>
        <v>-11452.14288</v>
      </c>
      <c r="J18" s="9">
        <f>('Working Capital Schedule'!J8-'Working Capital Schedule'!I8)*-1</f>
        <v>-10619.25977</v>
      </c>
      <c r="K18" s="9">
        <f>('Working Capital Schedule'!K8-'Working Capital Schedule'!J8)*-1</f>
        <v>-10806.86669</v>
      </c>
    </row>
    <row r="19" ht="14.25" customHeight="1">
      <c r="A19" s="1" t="s">
        <v>26</v>
      </c>
      <c r="B19" s="5">
        <v>-10919.0</v>
      </c>
      <c r="C19" s="5">
        <v>-4439.0</v>
      </c>
      <c r="D19" s="5">
        <v>-18833.0</v>
      </c>
      <c r="E19" s="5">
        <v>3062.0</v>
      </c>
      <c r="F19" s="5">
        <v>-21094.0</v>
      </c>
      <c r="G19" s="10" t="str">
        <f>('Working Capital Schedule'!G10-'Working Capital Schedule'!F10)*-1</f>
        <v>#REF!</v>
      </c>
      <c r="H19" s="9" t="str">
        <f>('Working Capital Schedule'!H10-'Working Capital Schedule'!G10)*-1</f>
        <v>#REF!</v>
      </c>
      <c r="I19" s="9" t="str">
        <f>('Working Capital Schedule'!I10-'Working Capital Schedule'!H10)*-1</f>
        <v>#REF!</v>
      </c>
      <c r="J19" s="9" t="str">
        <f>('Working Capital Schedule'!J10-'Working Capital Schedule'!I10)*-1</f>
        <v>#REF!</v>
      </c>
      <c r="K19" s="9" t="str">
        <f>('Working Capital Schedule'!K10-'Working Capital Schedule'!J10)*-1</f>
        <v>#REF!</v>
      </c>
    </row>
    <row r="20" ht="14.25" customHeight="1">
      <c r="A20" s="1" t="s">
        <v>75</v>
      </c>
      <c r="B20" s="5">
        <v>114297.0</v>
      </c>
      <c r="C20" s="5">
        <v>49765.0</v>
      </c>
      <c r="D20" s="5">
        <v>112786.0</v>
      </c>
      <c r="E20" s="5">
        <v>-61491.0</v>
      </c>
      <c r="F20" s="5">
        <v>78460.0</v>
      </c>
      <c r="G20" s="10">
        <f>'Working Capital Schedule'!G14-'Working Capital Schedule'!F14</f>
        <v>43683.41456</v>
      </c>
      <c r="H20" s="9">
        <f>'Working Capital Schedule'!H14-'Working Capital Schedule'!G14</f>
        <v>51820.88024</v>
      </c>
      <c r="I20" s="9">
        <f>'Working Capital Schedule'!I14-'Working Capital Schedule'!H14</f>
        <v>58210.08994</v>
      </c>
      <c r="J20" s="9">
        <f>'Working Capital Schedule'!J14-'Working Capital Schedule'!I14</f>
        <v>53976.62886</v>
      </c>
      <c r="K20" s="9">
        <f>'Working Capital Schedule'!K14-'Working Capital Schedule'!J14</f>
        <v>54930.21596</v>
      </c>
    </row>
    <row r="21" ht="14.25" customHeight="1">
      <c r="A21" s="1" t="s">
        <v>79</v>
      </c>
      <c r="B21" s="5">
        <v>71586.0</v>
      </c>
      <c r="C21" s="5">
        <v>-30419.0</v>
      </c>
      <c r="D21" s="5">
        <v>-10393.0</v>
      </c>
      <c r="E21" s="5">
        <v>18371.0</v>
      </c>
      <c r="F21" s="5">
        <v>81341.0</v>
      </c>
      <c r="G21" s="10">
        <f>'Working Capital Schedule'!G16-'Working Capital Schedule'!F16</f>
        <v>-46962.39162</v>
      </c>
      <c r="H21" s="9">
        <f>'Working Capital Schedule'!H16-'Working Capital Schedule'!G16</f>
        <v>22025.43664</v>
      </c>
      <c r="I21" s="9">
        <f>'Working Capital Schedule'!I16-'Working Capital Schedule'!H16</f>
        <v>24741.02796</v>
      </c>
      <c r="J21" s="9">
        <f>'Working Capital Schedule'!J16-'Working Capital Schedule'!I16</f>
        <v>22941.68047</v>
      </c>
      <c r="K21" s="9">
        <f>'Working Capital Schedule'!K16-'Working Capital Schedule'!J16</f>
        <v>23346.9835</v>
      </c>
    </row>
    <row r="22" ht="14.25" customHeight="1">
      <c r="A22" s="1" t="s">
        <v>83</v>
      </c>
      <c r="B22" s="5">
        <v>31498.0</v>
      </c>
      <c r="C22" s="5">
        <v>50821.0</v>
      </c>
      <c r="D22" s="5">
        <v>8418.0</v>
      </c>
      <c r="E22" s="5">
        <v>9736.0</v>
      </c>
      <c r="F22" s="5">
        <v>98266.0</v>
      </c>
      <c r="G22" s="10">
        <f>'Working Capital Schedule'!G18-'Working Capital Schedule'!F18</f>
        <v>-37809.20285</v>
      </c>
      <c r="H22" s="9">
        <f>'Working Capital Schedule'!H18-'Working Capital Schedule'!G18</f>
        <v>29432.18783</v>
      </c>
      <c r="I22" s="9">
        <f>'Working Capital Schedule'!I18-'Working Capital Schedule'!H18</f>
        <v>33060.98268</v>
      </c>
      <c r="J22" s="9">
        <f>'Working Capital Schedule'!J18-'Working Capital Schedule'!I18</f>
        <v>30656.54757</v>
      </c>
      <c r="K22" s="9">
        <f>'Working Capital Schedule'!K18-'Working Capital Schedule'!J18</f>
        <v>31198.14658</v>
      </c>
    </row>
    <row r="23" ht="14.25" customHeight="1">
      <c r="A23" s="1" t="s">
        <v>90</v>
      </c>
      <c r="B23" s="5">
        <v>7950.0</v>
      </c>
      <c r="C23" s="5">
        <v>3729.0</v>
      </c>
      <c r="D23" s="5">
        <v>13398.0</v>
      </c>
      <c r="E23" s="5">
        <v>5947.0</v>
      </c>
      <c r="F23" s="5">
        <v>17801.0</v>
      </c>
      <c r="G23" s="10">
        <f>'Working Capital Schedule'!G20-'Working Capital Schedule'!F20</f>
        <v>8229.616165</v>
      </c>
      <c r="H23" s="9">
        <f>'Working Capital Schedule'!H20-'Working Capital Schedule'!G20</f>
        <v>4551.975495</v>
      </c>
      <c r="I23" s="9">
        <f>'Working Capital Schedule'!I20-'Working Capital Schedule'!H20</f>
        <v>5113.204066</v>
      </c>
      <c r="J23" s="9">
        <f>'Working Capital Schedule'!J20-'Working Capital Schedule'!I20</f>
        <v>4741.334679</v>
      </c>
      <c r="K23" s="9">
        <f>'Working Capital Schedule'!K20-'Working Capital Schedule'!J20</f>
        <v>4825.098259</v>
      </c>
    </row>
    <row r="24" ht="14.25" customHeight="1">
      <c r="A24" s="1" t="s">
        <v>93</v>
      </c>
      <c r="B24" s="5">
        <v>7221.0</v>
      </c>
      <c r="C24" s="5">
        <v>-16860.0</v>
      </c>
      <c r="D24" s="5">
        <v>1748.0</v>
      </c>
      <c r="E24" s="5">
        <v>9438.0</v>
      </c>
      <c r="F24" s="5">
        <v>27779.0</v>
      </c>
      <c r="G24" s="10" t="str">
        <f>'Working Capital Schedule'!G22-'Working Capital Schedule'!F22</f>
        <v>#REF!</v>
      </c>
      <c r="H24" s="9" t="str">
        <f>'Working Capital Schedule'!H22-'Working Capital Schedule'!G22</f>
        <v>#REF!</v>
      </c>
      <c r="I24" s="9" t="str">
        <f>'Working Capital Schedule'!I22-'Working Capital Schedule'!H22</f>
        <v>#REF!</v>
      </c>
      <c r="J24" s="9" t="str">
        <f>'Working Capital Schedule'!J22-'Working Capital Schedule'!I22</f>
        <v>#REF!</v>
      </c>
      <c r="K24" s="9" t="str">
        <f>'Working Capital Schedule'!K22-'Working Capital Schedule'!J22</f>
        <v>#REF!</v>
      </c>
    </row>
    <row r="25" ht="14.25" customHeight="1">
      <c r="A25" s="1" t="s">
        <v>86</v>
      </c>
      <c r="B25" s="5">
        <v>-22658.0</v>
      </c>
      <c r="C25" s="5">
        <v>-19905.0</v>
      </c>
      <c r="D25" s="5">
        <v>-24472.0</v>
      </c>
      <c r="E25" s="5">
        <v>-17360.0</v>
      </c>
      <c r="F25" s="5">
        <v>-23005.0</v>
      </c>
      <c r="G25" s="10">
        <f>'Working Capital Schedule'!G24-'Working Capital Schedule'!F24</f>
        <v>-15523.3231</v>
      </c>
      <c r="H25" s="9">
        <f>'Working Capital Schedule'!H24-'Working Capital Schedule'!G24</f>
        <v>1426.442536</v>
      </c>
      <c r="I25" s="9">
        <f>'Working Capital Schedule'!I24-'Working Capital Schedule'!H24</f>
        <v>1602.31451</v>
      </c>
      <c r="J25" s="9">
        <f>'Working Capital Schedule'!J24-'Working Capital Schedule'!I24</f>
        <v>1485.782546</v>
      </c>
      <c r="K25" s="9">
        <f>'Working Capital Schedule'!K24-'Working Capital Schedule'!J24</f>
        <v>1512.031371</v>
      </c>
    </row>
    <row r="26" ht="14.25" customHeight="1">
      <c r="A26" s="4" t="s">
        <v>101</v>
      </c>
      <c r="B26" s="5">
        <f t="shared" ref="B26:K26" si="7">SUM(B16:B25)</f>
        <v>-362387</v>
      </c>
      <c r="C26" s="5">
        <f t="shared" si="7"/>
        <v>-482269</v>
      </c>
      <c r="D26" s="5">
        <f t="shared" si="7"/>
        <v>-82823</v>
      </c>
      <c r="E26" s="5">
        <f t="shared" si="7"/>
        <v>94250</v>
      </c>
      <c r="F26" s="5">
        <f t="shared" si="7"/>
        <v>-115277</v>
      </c>
      <c r="G26" s="5" t="str">
        <f t="shared" si="7"/>
        <v>#REF!</v>
      </c>
      <c r="H26" s="5" t="str">
        <f t="shared" si="7"/>
        <v>#REF!</v>
      </c>
      <c r="I26" s="5" t="str">
        <f t="shared" si="7"/>
        <v>#REF!</v>
      </c>
      <c r="J26" s="5" t="str">
        <f t="shared" si="7"/>
        <v>#REF!</v>
      </c>
      <c r="K26" s="5" t="str">
        <f t="shared" si="7"/>
        <v>#REF!</v>
      </c>
    </row>
    <row r="27" ht="14.25" customHeight="1">
      <c r="A27" s="4" t="s">
        <v>103</v>
      </c>
      <c r="B27" s="20">
        <f t="shared" ref="B27:F27" si="8">SUM(B3:B25)</f>
        <v>1155741.056</v>
      </c>
      <c r="C27" s="20">
        <f t="shared" si="8"/>
        <v>887698.8284</v>
      </c>
      <c r="D27" s="20">
        <f t="shared" si="8"/>
        <v>1717753.271</v>
      </c>
      <c r="E27" s="20">
        <f t="shared" si="8"/>
        <v>1928533.54</v>
      </c>
      <c r="F27" s="20">
        <f t="shared" si="8"/>
        <v>2098177.199</v>
      </c>
      <c r="G27" s="20" t="str">
        <f t="shared" ref="G27:K27" si="9">G3+G4+G5+G7+G8+G9+G10+G11+G13+G14+G16+G17+G18+G19+G20+G21+G22+G23+G24+G25</f>
        <v>#REF!</v>
      </c>
      <c r="H27" s="20" t="str">
        <f t="shared" si="9"/>
        <v>#REF!</v>
      </c>
      <c r="I27" s="20" t="str">
        <f t="shared" si="9"/>
        <v>#REF!</v>
      </c>
      <c r="J27" s="20" t="str">
        <f t="shared" si="9"/>
        <v>#REF!</v>
      </c>
      <c r="K27" s="20" t="str">
        <f t="shared" si="9"/>
        <v>#REF!</v>
      </c>
    </row>
    <row r="28" ht="14.25" customHeight="1"/>
    <row r="29" ht="14.25" customHeight="1">
      <c r="D29" s="19"/>
    </row>
    <row r="30" ht="14.25" customHeight="1">
      <c r="A30" s="4" t="s">
        <v>108</v>
      </c>
      <c r="D30" s="19"/>
    </row>
    <row r="31" ht="14.25" customHeight="1">
      <c r="A31" s="23" t="s">
        <v>109</v>
      </c>
      <c r="B31" s="5">
        <v>-924544.0</v>
      </c>
      <c r="C31" s="5">
        <v>-358468.0</v>
      </c>
      <c r="D31" s="5">
        <v>-132119.0</v>
      </c>
      <c r="E31" s="5">
        <v>1146478.0</v>
      </c>
      <c r="F31" s="5">
        <v>219655.0</v>
      </c>
      <c r="G31" s="8">
        <f>D31</f>
        <v>-132119</v>
      </c>
      <c r="H31" s="5">
        <v>-132119.0</v>
      </c>
      <c r="I31" s="5">
        <v>-132119.0</v>
      </c>
      <c r="J31" s="5">
        <v>-132119.0</v>
      </c>
      <c r="K31" s="5">
        <v>-132119.0</v>
      </c>
      <c r="L31" s="5"/>
    </row>
    <row r="32" ht="14.25" customHeight="1">
      <c r="A32" s="1" t="s">
        <v>110</v>
      </c>
      <c r="B32" s="5">
        <v>0.0</v>
      </c>
      <c r="C32" s="5">
        <v>0.0</v>
      </c>
      <c r="D32" s="5">
        <v>-363385.0</v>
      </c>
      <c r="E32" s="5">
        <v>0.0</v>
      </c>
      <c r="F32" s="5">
        <v>0.0</v>
      </c>
      <c r="G32" s="91">
        <v>0.0</v>
      </c>
      <c r="H32" s="91">
        <v>0.0</v>
      </c>
      <c r="I32" s="91">
        <v>0.0</v>
      </c>
      <c r="J32" s="91">
        <v>0.0</v>
      </c>
      <c r="K32" s="91">
        <v>0.0</v>
      </c>
      <c r="L32" s="5"/>
    </row>
    <row r="33" ht="14.25" customHeight="1">
      <c r="A33" s="1" t="s">
        <v>112</v>
      </c>
      <c r="B33" s="5">
        <v>0.0</v>
      </c>
      <c r="C33" s="5">
        <v>-329472.0</v>
      </c>
      <c r="D33" s="5">
        <v>0.0</v>
      </c>
      <c r="E33" s="5"/>
      <c r="F33" s="5"/>
      <c r="G33" s="91">
        <v>0.0</v>
      </c>
      <c r="H33" s="91">
        <v>0.0</v>
      </c>
      <c r="I33" s="91">
        <v>0.0</v>
      </c>
      <c r="J33" s="91">
        <v>0.0</v>
      </c>
      <c r="K33" s="91">
        <v>0.0</v>
      </c>
      <c r="L33" s="5"/>
    </row>
    <row r="34" ht="14.25" customHeight="1">
      <c r="A34" s="1" t="s">
        <v>114</v>
      </c>
      <c r="B34" s="5">
        <v>-43868.0</v>
      </c>
      <c r="C34" s="5">
        <v>-188726.0</v>
      </c>
      <c r="D34" s="5">
        <v>-221428.0</v>
      </c>
      <c r="E34" s="5">
        <v>-264074.0</v>
      </c>
      <c r="F34" s="5">
        <v>-132275.0</v>
      </c>
      <c r="G34" s="10">
        <f>-G35*I.S!G2</f>
        <v>-147751.175</v>
      </c>
      <c r="H34" s="19">
        <f>-H35*I.S!H2</f>
        <v>-160310.0249</v>
      </c>
      <c r="I34" s="19">
        <f>-I35*I.S!I2</f>
        <v>-174417.3071</v>
      </c>
      <c r="J34" s="19">
        <f>-J35*I.S!J2</f>
        <v>-187498.6051</v>
      </c>
      <c r="K34" s="19">
        <f>-K35*I.S!K2</f>
        <v>-200811.0061</v>
      </c>
      <c r="L34" s="5"/>
    </row>
    <row r="35" ht="14.25" customHeight="1">
      <c r="A35" s="12" t="s">
        <v>16</v>
      </c>
      <c r="B35" s="21">
        <f>B34/-I.S!B2</f>
        <v>0.007916479588</v>
      </c>
      <c r="C35" s="21">
        <f>C34/-I.S!C2</f>
        <v>0.02990405717</v>
      </c>
      <c r="D35" s="21">
        <f>D34/-I.S!D2</f>
        <v>0.03101220766</v>
      </c>
      <c r="E35" s="21">
        <f>E34/-I.S!E2</f>
        <v>0.03524412866</v>
      </c>
      <c r="F35" s="21">
        <f>F34/-I.S!F2</f>
        <v>0.01594761635</v>
      </c>
      <c r="G35" s="11">
        <f>F35</f>
        <v>0.01594761635</v>
      </c>
      <c r="H35" s="11">
        <v>0.01594761634526086</v>
      </c>
      <c r="I35" s="11">
        <v>0.01594761634526086</v>
      </c>
      <c r="J35" s="11">
        <v>0.01594761634526086</v>
      </c>
      <c r="K35" s="11">
        <v>0.01594761634526086</v>
      </c>
      <c r="L35" s="5"/>
    </row>
    <row r="36" ht="14.25" customHeight="1">
      <c r="A36" s="1" t="s">
        <v>118</v>
      </c>
      <c r="B36" s="5">
        <v>1328.0</v>
      </c>
      <c r="C36" s="5">
        <v>1313.0</v>
      </c>
      <c r="D36" s="5">
        <v>2520.0</v>
      </c>
      <c r="E36" s="5">
        <v>2732.0</v>
      </c>
      <c r="F36" s="5">
        <v>4299.0</v>
      </c>
      <c r="G36" s="8">
        <v>0.0</v>
      </c>
      <c r="H36" s="91">
        <v>0.0</v>
      </c>
      <c r="I36" s="91">
        <v>0.0</v>
      </c>
      <c r="J36" s="91">
        <v>0.0</v>
      </c>
      <c r="K36" s="91">
        <v>0.0</v>
      </c>
    </row>
    <row r="37" ht="14.25" customHeight="1">
      <c r="A37" s="1" t="s">
        <v>120</v>
      </c>
      <c r="B37" s="5">
        <v>-13585.0</v>
      </c>
      <c r="C37" s="5">
        <v>-23427.0</v>
      </c>
      <c r="D37" s="5">
        <v>-13296.0</v>
      </c>
      <c r="E37" s="5">
        <v>-42360.0</v>
      </c>
      <c r="F37" s="5">
        <v>-25254.0</v>
      </c>
      <c r="G37" s="8">
        <v>0.0</v>
      </c>
      <c r="H37" s="91">
        <v>0.0</v>
      </c>
      <c r="I37" s="91">
        <v>0.0</v>
      </c>
      <c r="J37" s="91">
        <v>0.0</v>
      </c>
      <c r="K37" s="91">
        <v>0.0</v>
      </c>
    </row>
    <row r="38" ht="14.25" customHeight="1">
      <c r="A38" s="1" t="s">
        <v>121</v>
      </c>
      <c r="B38" s="5">
        <v>-11353.0</v>
      </c>
      <c r="C38" s="5">
        <v>-26343.0</v>
      </c>
      <c r="D38" s="5">
        <v>-6825.0</v>
      </c>
      <c r="E38" s="5">
        <v>1635.0</v>
      </c>
      <c r="F38" s="5">
        <v>-398.0</v>
      </c>
      <c r="G38" s="8">
        <v>0.0</v>
      </c>
      <c r="H38" s="91">
        <v>0.0</v>
      </c>
      <c r="I38" s="91">
        <v>0.0</v>
      </c>
      <c r="J38" s="91">
        <v>0.0</v>
      </c>
      <c r="K38" s="91">
        <v>0.0</v>
      </c>
    </row>
    <row r="39" ht="14.25" customHeight="1">
      <c r="A39" s="4" t="s">
        <v>124</v>
      </c>
      <c r="B39" s="20">
        <f t="shared" ref="B39:F39" si="10">SUM(B31:B38)</f>
        <v>-992021.9921</v>
      </c>
      <c r="C39" s="20">
        <f t="shared" si="10"/>
        <v>-925122.9701</v>
      </c>
      <c r="D39" s="20">
        <f t="shared" si="10"/>
        <v>-734532.969</v>
      </c>
      <c r="E39" s="20">
        <f t="shared" si="10"/>
        <v>844411.0352</v>
      </c>
      <c r="F39" s="20">
        <f t="shared" si="10"/>
        <v>66027.01595</v>
      </c>
      <c r="G39" s="20">
        <f t="shared" ref="G39:K39" si="11">G31+G32+G33+G34+G36+G37+G38</f>
        <v>-279870.175</v>
      </c>
      <c r="H39" s="20">
        <f t="shared" si="11"/>
        <v>-292429.0249</v>
      </c>
      <c r="I39" s="20">
        <f t="shared" si="11"/>
        <v>-306536.3071</v>
      </c>
      <c r="J39" s="20">
        <f t="shared" si="11"/>
        <v>-319617.6051</v>
      </c>
      <c r="K39" s="20">
        <f t="shared" si="11"/>
        <v>-332930.0061</v>
      </c>
    </row>
    <row r="40" ht="14.25" customHeight="1"/>
    <row r="41" ht="14.25" customHeight="1">
      <c r="A41" s="4" t="s">
        <v>125</v>
      </c>
      <c r="B41" s="19"/>
      <c r="C41" s="19"/>
      <c r="D41" s="19"/>
    </row>
    <row r="42" ht="14.25" customHeight="1">
      <c r="A42" s="1" t="s">
        <v>126</v>
      </c>
      <c r="B42" s="5">
        <v>2928.0</v>
      </c>
      <c r="C42" s="5">
        <v>75.0</v>
      </c>
      <c r="D42" s="5">
        <v>-13914.0</v>
      </c>
      <c r="E42" s="5">
        <v>-8223.0</v>
      </c>
      <c r="F42" s="5">
        <v>-10344.0</v>
      </c>
      <c r="G42" s="8">
        <f>'Debt Schedule'!G13+'Debt Schedule'!G14</f>
        <v>0</v>
      </c>
      <c r="H42" s="89">
        <f>'Debt Schedule'!H13+'Debt Schedule'!H14</f>
        <v>0</v>
      </c>
      <c r="I42" s="89">
        <f>'Debt Schedule'!I13+'Debt Schedule'!I14</f>
        <v>0</v>
      </c>
      <c r="J42" s="89">
        <f>'Debt Schedule'!J13+'Debt Schedule'!J14</f>
        <v>0</v>
      </c>
      <c r="K42" s="89">
        <f>'Debt Schedule'!K13+'Debt Schedule'!K14</f>
        <v>0</v>
      </c>
    </row>
    <row r="43" ht="14.25" customHeight="1">
      <c r="A43" s="23" t="s">
        <v>128</v>
      </c>
      <c r="B43" s="5">
        <v>45723.0</v>
      </c>
      <c r="C43" s="5">
        <v>45723.0</v>
      </c>
      <c r="D43" s="5">
        <v>45723.0</v>
      </c>
      <c r="E43" s="5">
        <v>-329277.0</v>
      </c>
      <c r="F43" s="5">
        <v>-329277.0</v>
      </c>
      <c r="G43" s="8">
        <f>'Debt Schedule'!G21+'Debt Schedule'!G22</f>
        <v>0</v>
      </c>
      <c r="H43" s="89">
        <f>'Debt Schedule'!H21+'Debt Schedule'!H22</f>
        <v>0</v>
      </c>
      <c r="I43" s="89">
        <f>'Debt Schedule'!I21+'Debt Schedule'!I22</f>
        <v>0</v>
      </c>
      <c r="J43" s="89">
        <f>'Debt Schedule'!J21+'Debt Schedule'!J22</f>
        <v>0</v>
      </c>
      <c r="K43" s="89">
        <f>'Debt Schedule'!K21+'Debt Schedule'!K22</f>
        <v>0</v>
      </c>
    </row>
    <row r="44" ht="14.25" customHeight="1">
      <c r="A44" s="1" t="s">
        <v>130</v>
      </c>
      <c r="B44" s="5">
        <v>0.0</v>
      </c>
      <c r="C44" s="5">
        <v>0.0</v>
      </c>
      <c r="D44" s="5">
        <v>0.0</v>
      </c>
      <c r="E44" s="5">
        <v>-2904.0</v>
      </c>
      <c r="F44" s="5">
        <v>0.0</v>
      </c>
      <c r="G44" s="8">
        <f>'Debt Schedule'!G21+'Debt Schedule'!G22</f>
        <v>0</v>
      </c>
      <c r="H44" s="89">
        <f>'Debt Schedule'!H21+'Debt Schedule'!H22</f>
        <v>0</v>
      </c>
      <c r="I44" s="89">
        <f>'Debt Schedule'!I21+'Debt Schedule'!I22</f>
        <v>0</v>
      </c>
      <c r="J44" s="89">
        <f>'Debt Schedule'!J21+'Debt Schedule'!J22</f>
        <v>0</v>
      </c>
      <c r="K44" s="89">
        <f>'Debt Schedule'!K21+'Debt Schedule'!K22</f>
        <v>0</v>
      </c>
    </row>
    <row r="45" ht="14.25" customHeight="1">
      <c r="A45" s="1" t="s">
        <v>132</v>
      </c>
      <c r="B45" s="5">
        <v>0.0</v>
      </c>
      <c r="C45" s="5">
        <v>0.0</v>
      </c>
      <c r="D45" s="5">
        <v>0.0</v>
      </c>
      <c r="E45" s="5">
        <v>78973.0</v>
      </c>
      <c r="F45" s="5">
        <v>164568.0</v>
      </c>
      <c r="G45" s="10">
        <f t="shared" ref="G45:G46" si="12">F45</f>
        <v>164568</v>
      </c>
      <c r="H45" s="19">
        <v>164568.0</v>
      </c>
      <c r="I45" s="19">
        <v>164568.0</v>
      </c>
      <c r="J45" s="19">
        <v>164568.0</v>
      </c>
      <c r="K45" s="19">
        <v>164568.0</v>
      </c>
    </row>
    <row r="46" ht="14.25" customHeight="1">
      <c r="A46" s="1" t="s">
        <v>133</v>
      </c>
      <c r="B46" s="5">
        <v>-13830.0</v>
      </c>
      <c r="C46" s="5">
        <v>-771028.0</v>
      </c>
      <c r="D46" s="5">
        <v>-658952.0</v>
      </c>
      <c r="E46" s="5">
        <v>-3771875.0</v>
      </c>
      <c r="F46" s="5">
        <v>-103646.0</v>
      </c>
      <c r="G46" s="10">
        <f t="shared" si="12"/>
        <v>-103646</v>
      </c>
      <c r="H46" s="19">
        <f t="shared" ref="H46:K46" si="13">G46</f>
        <v>-103646</v>
      </c>
      <c r="I46" s="19">
        <f t="shared" si="13"/>
        <v>-103646</v>
      </c>
      <c r="J46" s="19">
        <f t="shared" si="13"/>
        <v>-103646</v>
      </c>
      <c r="K46" s="19">
        <f t="shared" si="13"/>
        <v>-103646</v>
      </c>
    </row>
    <row r="47" ht="14.25" customHeight="1">
      <c r="A47" s="4" t="s">
        <v>134</v>
      </c>
      <c r="B47" s="20">
        <f t="shared" ref="B47:F47" si="14">SUM(B42:B46)</f>
        <v>34821</v>
      </c>
      <c r="C47" s="20">
        <f t="shared" si="14"/>
        <v>-725230</v>
      </c>
      <c r="D47" s="20">
        <f t="shared" si="14"/>
        <v>-627143</v>
      </c>
      <c r="E47" s="20">
        <f t="shared" si="14"/>
        <v>-4033306</v>
      </c>
      <c r="F47" s="20">
        <f t="shared" si="14"/>
        <v>-278699</v>
      </c>
      <c r="G47" s="20">
        <f t="shared" ref="G47:K47" si="15">G42+G43+G44+G45+G46</f>
        <v>60922</v>
      </c>
      <c r="H47" s="20">
        <f t="shared" si="15"/>
        <v>60922</v>
      </c>
      <c r="I47" s="20">
        <f t="shared" si="15"/>
        <v>60922</v>
      </c>
      <c r="J47" s="20">
        <f t="shared" si="15"/>
        <v>60922</v>
      </c>
      <c r="K47" s="20">
        <f t="shared" si="15"/>
        <v>60922</v>
      </c>
    </row>
    <row r="48" ht="14.25" customHeight="1">
      <c r="B48" s="19"/>
      <c r="C48" s="19"/>
      <c r="D48" s="19"/>
    </row>
    <row r="49" ht="14.25" customHeight="1">
      <c r="A49" s="1" t="s">
        <v>135</v>
      </c>
      <c r="B49" s="5">
        <v>-52491.0</v>
      </c>
      <c r="C49" s="5">
        <v>-38715.0</v>
      </c>
      <c r="D49" s="5">
        <v>8775.0</v>
      </c>
      <c r="E49" s="5">
        <v>-97619.0</v>
      </c>
      <c r="F49" s="5">
        <v>97853.0</v>
      </c>
      <c r="G49" s="8">
        <v>-97619.0</v>
      </c>
      <c r="H49" s="5">
        <v>97853.0</v>
      </c>
      <c r="I49" s="5">
        <v>-97619.0</v>
      </c>
      <c r="J49" s="5">
        <v>97853.0</v>
      </c>
      <c r="K49" s="5">
        <v>-97619.0</v>
      </c>
      <c r="L49" s="5"/>
    </row>
    <row r="50" ht="30.0" customHeight="1">
      <c r="A50" s="23" t="s">
        <v>137</v>
      </c>
      <c r="B50" s="53">
        <f t="shared" ref="B50:K50" si="16">B47+B39+B27+B49</f>
        <v>146049.0638</v>
      </c>
      <c r="C50" s="53">
        <f t="shared" si="16"/>
        <v>-801369.1417</v>
      </c>
      <c r="D50" s="53">
        <f t="shared" si="16"/>
        <v>364852.3024</v>
      </c>
      <c r="E50" s="53">
        <f t="shared" si="16"/>
        <v>-1357980.425</v>
      </c>
      <c r="F50" s="53">
        <f t="shared" si="16"/>
        <v>1983358.215</v>
      </c>
      <c r="G50" s="94" t="str">
        <f t="shared" si="16"/>
        <v>#REF!</v>
      </c>
      <c r="H50" s="53" t="str">
        <f t="shared" si="16"/>
        <v>#REF!</v>
      </c>
      <c r="I50" s="53" t="str">
        <f t="shared" si="16"/>
        <v>#REF!</v>
      </c>
      <c r="J50" s="53" t="str">
        <f t="shared" si="16"/>
        <v>#REF!</v>
      </c>
      <c r="K50" s="53" t="str">
        <f t="shared" si="16"/>
        <v>#REF!</v>
      </c>
    </row>
    <row r="51" ht="14.25" customHeight="1">
      <c r="B51" s="19"/>
      <c r="C51" s="19"/>
      <c r="D51" s="19"/>
    </row>
    <row r="52" ht="14.25" customHeight="1">
      <c r="A52" s="4" t="s">
        <v>139</v>
      </c>
      <c r="B52" s="5">
        <v>1180413.0</v>
      </c>
      <c r="C52" s="19">
        <f t="shared" ref="C52:K52" si="17">B53</f>
        <v>1326462.064</v>
      </c>
      <c r="D52" s="19">
        <f t="shared" si="17"/>
        <v>525092.9221</v>
      </c>
      <c r="E52" s="19">
        <f t="shared" si="17"/>
        <v>889945.2245</v>
      </c>
      <c r="F52" s="19">
        <f t="shared" si="17"/>
        <v>-468035.2004</v>
      </c>
      <c r="G52" s="19">
        <f t="shared" si="17"/>
        <v>1515323.014</v>
      </c>
      <c r="H52" s="19" t="str">
        <f t="shared" si="17"/>
        <v>#REF!</v>
      </c>
      <c r="I52" s="19" t="str">
        <f t="shared" si="17"/>
        <v>#REF!</v>
      </c>
      <c r="J52" s="19" t="str">
        <f t="shared" si="17"/>
        <v>#REF!</v>
      </c>
      <c r="K52" s="19" t="str">
        <f t="shared" si="17"/>
        <v>#REF!</v>
      </c>
    </row>
    <row r="53" ht="14.25" customHeight="1">
      <c r="A53" s="4" t="s">
        <v>140</v>
      </c>
      <c r="B53" s="20">
        <f t="shared" ref="B53:K53" si="18">B52+B50</f>
        <v>1326462.064</v>
      </c>
      <c r="C53" s="20">
        <f t="shared" si="18"/>
        <v>525092.9221</v>
      </c>
      <c r="D53" s="20">
        <f t="shared" si="18"/>
        <v>889945.2245</v>
      </c>
      <c r="E53" s="20">
        <f t="shared" si="18"/>
        <v>-468035.2004</v>
      </c>
      <c r="F53" s="20">
        <f t="shared" si="18"/>
        <v>1515323.014</v>
      </c>
      <c r="G53" s="20" t="str">
        <f t="shared" si="18"/>
        <v>#REF!</v>
      </c>
      <c r="H53" s="20" t="str">
        <f t="shared" si="18"/>
        <v>#REF!</v>
      </c>
      <c r="I53" s="20" t="str">
        <f t="shared" si="18"/>
        <v>#REF!</v>
      </c>
      <c r="J53" s="20" t="str">
        <f t="shared" si="18"/>
        <v>#REF!</v>
      </c>
      <c r="K53" s="20" t="str">
        <f t="shared" si="18"/>
        <v>#REF!</v>
      </c>
    </row>
    <row r="54" ht="14.25" customHeight="1">
      <c r="B54" s="19"/>
      <c r="C54" s="19"/>
      <c r="D54" s="19"/>
    </row>
    <row r="55" ht="14.25" customHeight="1">
      <c r="A55" s="1" t="s">
        <v>142</v>
      </c>
      <c r="B55" s="19"/>
      <c r="C55" s="19"/>
      <c r="D55" s="19"/>
    </row>
    <row r="56" ht="14.25" customHeight="1">
      <c r="A56" s="1" t="s">
        <v>143</v>
      </c>
      <c r="B56" s="19"/>
      <c r="C56" s="19"/>
      <c r="D56" s="19"/>
    </row>
    <row r="57" ht="14.25" customHeight="1">
      <c r="A57" s="1" t="s">
        <v>145</v>
      </c>
      <c r="B57" s="5">
        <v>134.0</v>
      </c>
      <c r="C57" s="5">
        <v>431.0</v>
      </c>
      <c r="D57" s="5">
        <v>363.0</v>
      </c>
      <c r="E57" s="5">
        <v>25270.0</v>
      </c>
      <c r="F57" s="5">
        <v>5337.0</v>
      </c>
      <c r="G57" s="19">
        <f t="shared" ref="G57:K57" si="19">F57</f>
        <v>5337</v>
      </c>
      <c r="H57" s="19">
        <f t="shared" si="19"/>
        <v>5337</v>
      </c>
      <c r="I57" s="19">
        <f t="shared" si="19"/>
        <v>5337</v>
      </c>
      <c r="J57" s="19">
        <f t="shared" si="19"/>
        <v>5337</v>
      </c>
      <c r="K57" s="19">
        <f t="shared" si="19"/>
        <v>5337</v>
      </c>
    </row>
    <row r="58" ht="14.25" customHeight="1">
      <c r="B58" s="19"/>
      <c r="C58" s="19"/>
      <c r="D58" s="19"/>
    </row>
    <row r="59" ht="14.25" customHeight="1">
      <c r="A59" s="4" t="s">
        <v>146</v>
      </c>
    </row>
    <row r="60" ht="14.25" customHeight="1">
      <c r="A60" s="97" t="s">
        <v>147</v>
      </c>
      <c r="B60" s="98"/>
      <c r="C60" s="98"/>
      <c r="D60" s="98"/>
      <c r="E60" s="101"/>
      <c r="F60" s="101"/>
      <c r="G60" s="101" t="str">
        <f t="shared" ref="G60:K60" si="20">G27+G39+G45+G46+G49</f>
        <v>#REF!</v>
      </c>
      <c r="H60" s="101" t="str">
        <f t="shared" si="20"/>
        <v>#REF!</v>
      </c>
      <c r="I60" s="101" t="str">
        <f t="shared" si="20"/>
        <v>#REF!</v>
      </c>
      <c r="J60" s="101" t="str">
        <f t="shared" si="20"/>
        <v>#REF!</v>
      </c>
      <c r="K60" s="101" t="str">
        <f t="shared" si="20"/>
        <v>#REF!</v>
      </c>
    </row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 outlineLevelRow="1"/>
  <cols>
    <col customWidth="1" min="1" max="1" width="30.71"/>
    <col customWidth="1" min="2" max="5" width="11.57"/>
    <col customWidth="1" min="6" max="10" width="15.71"/>
    <col customWidth="1" min="11" max="26" width="8.71"/>
  </cols>
  <sheetData>
    <row r="1" ht="14.25" customHeight="1">
      <c r="A1" s="1" t="s">
        <v>0</v>
      </c>
      <c r="B1" s="2">
        <v>2022.0</v>
      </c>
      <c r="C1" s="2">
        <v>2023.0</v>
      </c>
      <c r="D1" s="2">
        <f t="shared" ref="D1:J1" si="1">C1+1</f>
        <v>2024</v>
      </c>
      <c r="E1" s="2">
        <f t="shared" si="1"/>
        <v>2025</v>
      </c>
      <c r="F1" s="3">
        <f t="shared" si="1"/>
        <v>2026</v>
      </c>
      <c r="G1" s="3">
        <f t="shared" si="1"/>
        <v>2027</v>
      </c>
      <c r="H1" s="3">
        <f t="shared" si="1"/>
        <v>2028</v>
      </c>
      <c r="I1" s="3">
        <f t="shared" si="1"/>
        <v>2029</v>
      </c>
      <c r="J1" s="3">
        <f t="shared" si="1"/>
        <v>2030</v>
      </c>
    </row>
    <row r="2" ht="14.25" customHeight="1">
      <c r="A2" s="4" t="s">
        <v>4</v>
      </c>
    </row>
    <row r="3" ht="14.25" customHeight="1">
      <c r="A3" s="1" t="s">
        <v>6</v>
      </c>
      <c r="B3" s="5">
        <v>1307141.0</v>
      </c>
      <c r="C3" s="5">
        <v>2297675.0</v>
      </c>
      <c r="D3" s="5">
        <v>1533287.0</v>
      </c>
      <c r="E3" s="5">
        <v>2088117.0</v>
      </c>
      <c r="F3" s="9" t="str">
        <f>E3+C.S!G50</f>
        <v>#REF!</v>
      </c>
      <c r="G3" s="9" t="str">
        <f>F3+C.S!H50</f>
        <v>#REF!</v>
      </c>
      <c r="H3" s="9" t="str">
        <f>G3+C.S!I50</f>
        <v>#REF!</v>
      </c>
      <c r="I3" s="9" t="str">
        <f>H3+C.S!J50</f>
        <v>#REF!</v>
      </c>
      <c r="J3" s="9" t="str">
        <f>I3+C.S!K50</f>
        <v>#REF!</v>
      </c>
    </row>
    <row r="4" ht="14.25" customHeight="1">
      <c r="A4" s="1" t="s">
        <v>10</v>
      </c>
      <c r="B4" s="5">
        <v>1362314.0</v>
      </c>
      <c r="C4" s="5">
        <v>955605.0</v>
      </c>
      <c r="D4" s="5">
        <v>0.0</v>
      </c>
      <c r="E4" s="5">
        <v>677084.0</v>
      </c>
      <c r="F4" s="13">
        <f>E4-C.S!G31</f>
        <v>809203</v>
      </c>
      <c r="G4" s="13">
        <f>F4-C.S!H31</f>
        <v>941322</v>
      </c>
      <c r="H4" s="13">
        <f>G4-C.S!I31</f>
        <v>1073441</v>
      </c>
      <c r="I4" s="13">
        <f>H4-C.S!J31</f>
        <v>1205560</v>
      </c>
      <c r="J4" s="13">
        <f>I4-C.S!K31</f>
        <v>1337679</v>
      </c>
    </row>
    <row r="5" ht="14.25" customHeight="1">
      <c r="A5" s="1" t="s">
        <v>13</v>
      </c>
      <c r="B5" s="5">
        <v>1016203.0</v>
      </c>
      <c r="C5" s="5">
        <v>1193964.0</v>
      </c>
      <c r="D5" s="5">
        <v>1221646.0</v>
      </c>
      <c r="E5" s="5">
        <v>1618072.0</v>
      </c>
      <c r="F5" s="9">
        <f>E5-C.S!G16</f>
        <v>1504459.658</v>
      </c>
      <c r="G5" s="9">
        <f>F5-C.S!H16</f>
        <v>1632338.729</v>
      </c>
      <c r="H5" s="9">
        <f>G5-C.S!I16</f>
        <v>1775984.537</v>
      </c>
      <c r="I5" s="9">
        <f>H5-C.S!J16</f>
        <v>1909183.378</v>
      </c>
      <c r="J5" s="9">
        <f>I5-C.S!K16</f>
        <v>2044735.397</v>
      </c>
    </row>
    <row r="6" ht="14.25" customHeight="1">
      <c r="A6" s="1" t="s">
        <v>17</v>
      </c>
      <c r="B6" s="5">
        <v>935631.0</v>
      </c>
      <c r="C6" s="5">
        <v>971406.0</v>
      </c>
      <c r="D6" s="5">
        <v>737107.0</v>
      </c>
      <c r="E6" s="5">
        <v>799623.0</v>
      </c>
      <c r="F6" s="9">
        <f>E6-C.S!G17</f>
        <v>907169.9306</v>
      </c>
      <c r="G6" s="9">
        <f>F6-C.S!H17</f>
        <v>984279.3747</v>
      </c>
      <c r="H6" s="9">
        <f>G6-C.S!I17</f>
        <v>1070895.96</v>
      </c>
      <c r="I6" s="9">
        <f>H6-C.S!J17</f>
        <v>1151213.157</v>
      </c>
      <c r="J6" s="9">
        <f>I6-C.S!K17</f>
        <v>1232949.291</v>
      </c>
    </row>
    <row r="7" ht="14.25" customHeight="1">
      <c r="A7" s="1" t="s">
        <v>22</v>
      </c>
      <c r="B7" s="5">
        <v>109823.0</v>
      </c>
      <c r="C7" s="5">
        <v>116195.0</v>
      </c>
      <c r="D7" s="5">
        <v>107262.0</v>
      </c>
      <c r="E7" s="5">
        <v>103551.0</v>
      </c>
      <c r="F7" s="9">
        <f>E7-C.S!G18</f>
        <v>119942.8397</v>
      </c>
      <c r="G7" s="9">
        <f>F7-C.S!H18</f>
        <v>130137.9873</v>
      </c>
      <c r="H7" s="9">
        <f>G7-C.S!I18</f>
        <v>141590.1302</v>
      </c>
      <c r="I7" s="9">
        <f>H7-C.S!J18</f>
        <v>152209.39</v>
      </c>
      <c r="J7" s="9">
        <f>I7-C.S!K18</f>
        <v>163016.2567</v>
      </c>
    </row>
    <row r="8" ht="14.25" customHeight="1">
      <c r="A8" s="1" t="s">
        <v>26</v>
      </c>
      <c r="B8" s="5">
        <v>33785.0</v>
      </c>
      <c r="C8" s="5">
        <v>54151.0</v>
      </c>
      <c r="D8" s="5">
        <v>42202.0</v>
      </c>
      <c r="E8" s="5">
        <v>74637.0</v>
      </c>
      <c r="F8" s="9" t="str">
        <f>E8-C.S!G19</f>
        <v>#REF!</v>
      </c>
      <c r="G8" s="9" t="str">
        <f>F8-C.S!H19</f>
        <v>#REF!</v>
      </c>
      <c r="H8" s="9" t="str">
        <f>G8-C.S!I19</f>
        <v>#REF!</v>
      </c>
      <c r="I8" s="9" t="str">
        <f>H8-C.S!J19</f>
        <v>#REF!</v>
      </c>
      <c r="J8" s="9" t="str">
        <f>I8-C.S!K19</f>
        <v>#REF!</v>
      </c>
    </row>
    <row r="9" ht="14.25" customHeight="1">
      <c r="A9" s="4" t="s">
        <v>27</v>
      </c>
      <c r="B9" s="20">
        <f t="shared" ref="B9:J9" si="2">SUM(B3:B8)</f>
        <v>4764897</v>
      </c>
      <c r="C9" s="20">
        <f t="shared" si="2"/>
        <v>5588996</v>
      </c>
      <c r="D9" s="20">
        <f t="shared" si="2"/>
        <v>3641504</v>
      </c>
      <c r="E9" s="20">
        <f t="shared" si="2"/>
        <v>5361084</v>
      </c>
      <c r="F9" s="20" t="str">
        <f t="shared" si="2"/>
        <v>#REF!</v>
      </c>
      <c r="G9" s="20" t="str">
        <f t="shared" si="2"/>
        <v>#REF!</v>
      </c>
      <c r="H9" s="20" t="str">
        <f t="shared" si="2"/>
        <v>#REF!</v>
      </c>
      <c r="I9" s="20" t="str">
        <f t="shared" si="2"/>
        <v>#REF!</v>
      </c>
      <c r="J9" s="20" t="str">
        <f t="shared" si="2"/>
        <v>#REF!</v>
      </c>
    </row>
    <row r="10" ht="14.25" customHeight="1">
      <c r="B10" s="19"/>
      <c r="C10" s="19"/>
      <c r="D10" s="19"/>
      <c r="E10" s="19"/>
      <c r="F10" s="19"/>
      <c r="G10" s="19"/>
      <c r="H10" s="19"/>
      <c r="I10" s="19"/>
      <c r="J10" s="19"/>
    </row>
    <row r="11" ht="14.25" customHeight="1">
      <c r="A11" s="4" t="s">
        <v>31</v>
      </c>
    </row>
    <row r="12" ht="14.25" customHeight="1">
      <c r="A12" s="1" t="s">
        <v>32</v>
      </c>
      <c r="B12" s="5">
        <v>61443.0</v>
      </c>
      <c r="C12" s="5">
        <v>76431.0</v>
      </c>
      <c r="D12" s="5">
        <v>0.0</v>
      </c>
      <c r="E12" s="5">
        <v>487329.0</v>
      </c>
      <c r="F12" s="5">
        <f t="shared" ref="F12:J12" si="3">E12</f>
        <v>487329</v>
      </c>
      <c r="G12" s="5">
        <f t="shared" si="3"/>
        <v>487329</v>
      </c>
      <c r="H12" s="5">
        <f t="shared" si="3"/>
        <v>487329</v>
      </c>
      <c r="I12" s="5">
        <f t="shared" si="3"/>
        <v>487329</v>
      </c>
      <c r="J12" s="5">
        <f t="shared" si="3"/>
        <v>487329</v>
      </c>
    </row>
    <row r="13" ht="14.25" customHeight="1">
      <c r="A13" s="1" t="s">
        <v>34</v>
      </c>
      <c r="B13" s="5">
        <v>516897.0</v>
      </c>
      <c r="C13" s="5">
        <v>890796.0</v>
      </c>
      <c r="D13" s="5">
        <v>1047024.0</v>
      </c>
      <c r="E13" s="5">
        <v>1081544.0</v>
      </c>
      <c r="F13" s="9">
        <f>E13-C.S!G34-C.S!G4-C.S!G7-C.S!G10-C.S!G32-C.S!G33-C.S!G36-C.S!G8</f>
        <v>1338338.567</v>
      </c>
      <c r="G13" s="9">
        <f>F13-C.S!H34-C.S!H4-C.S!H7-C.S!H10-C.S!H32-C.S!H33-C.S!H36-C.S!H8</f>
        <v>1619689.7</v>
      </c>
      <c r="H13" s="9">
        <f>G13-C.S!I34-C.S!I4-C.S!I7-C.S!I10-C.S!I32-C.S!I33-C.S!I36-C.S!I8</f>
        <v>1927059.495</v>
      </c>
      <c r="I13" s="9">
        <f>H13-C.S!J34-C.S!J4-C.S!J7-C.S!J10-C.S!J32-C.S!J33-C.S!J36-C.S!J8</f>
        <v>2261450.345</v>
      </c>
      <c r="J13" s="9">
        <f>I13-C.S!K34-C.S!K4-C.S!K7-C.S!K10-C.S!K32-C.S!K33-C.S!K36-C.S!K8</f>
        <v>2622950.239</v>
      </c>
    </row>
    <row r="14" ht="14.25" customHeight="1">
      <c r="A14" s="1" t="s">
        <v>44</v>
      </c>
      <c r="B14" s="5">
        <v>177039.0</v>
      </c>
      <c r="C14" s="5">
        <v>175003.0</v>
      </c>
      <c r="D14" s="5">
        <v>184260.0</v>
      </c>
      <c r="E14" s="5">
        <v>188646.0</v>
      </c>
      <c r="F14" s="19">
        <f>E14-C.S!G13</f>
        <v>180471.1097</v>
      </c>
      <c r="G14" s="19">
        <f>F14-C.S!H13</f>
        <v>171917.6523</v>
      </c>
      <c r="H14" s="19">
        <f>G14-C.S!I13</f>
        <v>167639.5473</v>
      </c>
      <c r="I14" s="19">
        <f>H14-C.S!J13</f>
        <v>167109.3265</v>
      </c>
      <c r="J14" s="19">
        <f>I14-C.S!K13</f>
        <v>167592.9234</v>
      </c>
    </row>
    <row r="15" ht="14.25" customHeight="1">
      <c r="A15" s="1" t="s">
        <v>49</v>
      </c>
      <c r="B15" s="5">
        <v>1417941.0</v>
      </c>
      <c r="C15" s="5">
        <v>1417941.0</v>
      </c>
      <c r="D15" s="5">
        <v>1331643.0</v>
      </c>
      <c r="E15" s="5">
        <v>1331643.0</v>
      </c>
      <c r="F15" s="19">
        <f t="shared" ref="F15:J15" si="4">E15</f>
        <v>1331643</v>
      </c>
      <c r="G15" s="19">
        <f t="shared" si="4"/>
        <v>1331643</v>
      </c>
      <c r="H15" s="19">
        <f t="shared" si="4"/>
        <v>1331643</v>
      </c>
      <c r="I15" s="19">
        <f t="shared" si="4"/>
        <v>1331643</v>
      </c>
      <c r="J15" s="19">
        <f t="shared" si="4"/>
        <v>1331643</v>
      </c>
    </row>
    <row r="16" ht="14.25" customHeight="1">
      <c r="A16" s="1" t="s">
        <v>55</v>
      </c>
      <c r="B16" s="5">
        <v>1220410.0</v>
      </c>
      <c r="C16" s="5">
        <v>1427139.0</v>
      </c>
      <c r="D16" s="5">
        <v>1414252.0</v>
      </c>
      <c r="E16" s="5">
        <v>1379268.0</v>
      </c>
      <c r="F16" s="19">
        <f>E16-C.S!G37-C.S!G9</f>
        <v>1340857</v>
      </c>
      <c r="G16" s="19">
        <f>F16-C.S!H37-C.S!H9</f>
        <v>1302446</v>
      </c>
      <c r="H16" s="19">
        <f>G16-C.S!I37-C.S!I9</f>
        <v>1264035</v>
      </c>
      <c r="I16" s="19">
        <f>H16-C.S!J37-C.S!J9</f>
        <v>1225624</v>
      </c>
      <c r="J16" s="19">
        <f>I16-C.S!K37-C.S!K9</f>
        <v>1187213</v>
      </c>
    </row>
    <row r="17" ht="14.25" customHeight="1">
      <c r="A17" s="1" t="s">
        <v>60</v>
      </c>
      <c r="B17" s="5">
        <v>134478.0</v>
      </c>
      <c r="C17" s="5">
        <v>110216.0</v>
      </c>
      <c r="D17" s="5">
        <v>100406.0</v>
      </c>
      <c r="E17" s="5">
        <v>159431.0</v>
      </c>
      <c r="F17" s="19">
        <f t="shared" ref="F17:J17" si="5">E17</f>
        <v>159431</v>
      </c>
      <c r="G17" s="19">
        <f t="shared" si="5"/>
        <v>159431</v>
      </c>
      <c r="H17" s="19">
        <f t="shared" si="5"/>
        <v>159431</v>
      </c>
      <c r="I17" s="19">
        <f t="shared" si="5"/>
        <v>159431</v>
      </c>
      <c r="J17" s="19">
        <f t="shared" si="5"/>
        <v>159431</v>
      </c>
    </row>
    <row r="18" ht="14.25" customHeight="1">
      <c r="A18" s="4" t="s">
        <v>63</v>
      </c>
      <c r="B18" s="20">
        <f t="shared" ref="B18:J18" si="6">SUM(B12:B17)</f>
        <v>3528208</v>
      </c>
      <c r="C18" s="20">
        <f t="shared" si="6"/>
        <v>4097526</v>
      </c>
      <c r="D18" s="20">
        <f t="shared" si="6"/>
        <v>4077585</v>
      </c>
      <c r="E18" s="20">
        <f t="shared" si="6"/>
        <v>4627861</v>
      </c>
      <c r="F18" s="20">
        <f t="shared" si="6"/>
        <v>4838069.677</v>
      </c>
      <c r="G18" s="20">
        <f t="shared" si="6"/>
        <v>5072456.353</v>
      </c>
      <c r="H18" s="20">
        <f t="shared" si="6"/>
        <v>5337137.042</v>
      </c>
      <c r="I18" s="20">
        <f t="shared" si="6"/>
        <v>5632586.671</v>
      </c>
      <c r="J18" s="20">
        <f t="shared" si="6"/>
        <v>5956159.162</v>
      </c>
    </row>
    <row r="19" ht="14.25" customHeight="1">
      <c r="A19" s="4" t="s">
        <v>67</v>
      </c>
      <c r="B19" s="53">
        <f t="shared" ref="B19:J19" si="7">B18+B9</f>
        <v>8293105</v>
      </c>
      <c r="C19" s="53">
        <f t="shared" si="7"/>
        <v>9686522</v>
      </c>
      <c r="D19" s="53">
        <f t="shared" si="7"/>
        <v>7719089</v>
      </c>
      <c r="E19" s="53">
        <f t="shared" si="7"/>
        <v>9988945</v>
      </c>
      <c r="F19" s="53" t="str">
        <f t="shared" si="7"/>
        <v>#REF!</v>
      </c>
      <c r="G19" s="53" t="str">
        <f t="shared" si="7"/>
        <v>#REF!</v>
      </c>
      <c r="H19" s="53" t="str">
        <f t="shared" si="7"/>
        <v>#REF!</v>
      </c>
      <c r="I19" s="53" t="str">
        <f t="shared" si="7"/>
        <v>#REF!</v>
      </c>
      <c r="J19" s="53" t="str">
        <f t="shared" si="7"/>
        <v>#REF!</v>
      </c>
    </row>
    <row r="20" ht="14.25" customHeight="1">
      <c r="F20" s="19"/>
    </row>
    <row r="21" ht="14.25" customHeight="1">
      <c r="F21" s="19"/>
      <c r="G21" s="19"/>
      <c r="H21" s="19"/>
    </row>
    <row r="22" ht="14.25" customHeight="1">
      <c r="B22" s="19"/>
      <c r="C22" s="19"/>
      <c r="D22" s="19"/>
      <c r="E22" s="19"/>
      <c r="F22" s="19"/>
      <c r="G22" s="19"/>
      <c r="H22" s="19"/>
      <c r="I22" s="19"/>
      <c r="J22" s="19"/>
    </row>
    <row r="23" ht="14.25" customHeight="1">
      <c r="A23" s="4" t="s">
        <v>74</v>
      </c>
    </row>
    <row r="24" ht="14.25" customHeight="1">
      <c r="A24" s="1" t="s">
        <v>75</v>
      </c>
      <c r="B24" s="5">
        <v>444265.0</v>
      </c>
      <c r="C24" s="5">
        <v>564379.0</v>
      </c>
      <c r="D24" s="5">
        <v>466775.0</v>
      </c>
      <c r="E24" s="5">
        <v>565974.0</v>
      </c>
      <c r="F24" s="9">
        <f>E24+C.S!G20</f>
        <v>609657.4146</v>
      </c>
      <c r="G24" s="9">
        <f>F24+C.S!H20</f>
        <v>661478.2948</v>
      </c>
      <c r="H24" s="9">
        <f>G24+C.S!I20</f>
        <v>719688.3847</v>
      </c>
      <c r="I24" s="9">
        <f>H24+C.S!J20</f>
        <v>773665.0136</v>
      </c>
      <c r="J24" s="9">
        <f>I24+C.S!K20</f>
        <v>828595.2296</v>
      </c>
    </row>
    <row r="25" ht="14.25" customHeight="1">
      <c r="A25" s="1" t="s">
        <v>79</v>
      </c>
      <c r="B25" s="5">
        <v>172991.0</v>
      </c>
      <c r="C25" s="5">
        <v>183988.0</v>
      </c>
      <c r="D25" s="5">
        <v>220764.0</v>
      </c>
      <c r="E25" s="5">
        <v>306085.0</v>
      </c>
      <c r="F25" s="9">
        <f>E25+C.S!G21</f>
        <v>259122.6084</v>
      </c>
      <c r="G25" s="9">
        <f>F25+C.S!H21</f>
        <v>281148.045</v>
      </c>
      <c r="H25" s="9">
        <f>G25+C.S!I21</f>
        <v>305889.073</v>
      </c>
      <c r="I25" s="9">
        <f>H25+C.S!J21</f>
        <v>328830.7535</v>
      </c>
      <c r="J25" s="9">
        <f>I25+C.S!K21</f>
        <v>352177.737</v>
      </c>
    </row>
    <row r="26" ht="14.25" customHeight="1">
      <c r="A26" s="1" t="s">
        <v>83</v>
      </c>
      <c r="B26" s="5">
        <v>255631.0</v>
      </c>
      <c r="C26" s="5">
        <v>269061.0</v>
      </c>
      <c r="D26" s="5">
        <v>267711.0</v>
      </c>
      <c r="E26" s="5">
        <v>384070.0</v>
      </c>
      <c r="F26" s="9">
        <f>E26+C.S!G22</f>
        <v>346260.7972</v>
      </c>
      <c r="G26" s="9">
        <f>F26+C.S!H22</f>
        <v>375692.985</v>
      </c>
      <c r="H26" s="9">
        <f>G26+C.S!I22</f>
        <v>408753.9677</v>
      </c>
      <c r="I26" s="9">
        <f>H26+C.S!J22</f>
        <v>439410.5152</v>
      </c>
      <c r="J26" s="9">
        <f>I26+C.S!K22</f>
        <v>470608.6618</v>
      </c>
    </row>
    <row r="27" ht="14.25" customHeight="1">
      <c r="A27" s="1" t="s">
        <v>86</v>
      </c>
      <c r="B27" s="5">
        <v>43311.0</v>
      </c>
      <c r="C27" s="5">
        <v>41914.0</v>
      </c>
      <c r="D27" s="5">
        <v>45809.0</v>
      </c>
      <c r="E27" s="5">
        <v>45323.0</v>
      </c>
      <c r="F27" s="9">
        <f>E27+C.S!G25</f>
        <v>29799.6769</v>
      </c>
      <c r="G27" s="9">
        <f>F27+C.S!H25</f>
        <v>31226.11944</v>
      </c>
      <c r="H27" s="9">
        <f>G27+C.S!I25</f>
        <v>32828.43395</v>
      </c>
      <c r="I27" s="9">
        <f>H27+C.S!J25</f>
        <v>34314.21649</v>
      </c>
      <c r="J27" s="9">
        <f>I27+C.S!K25</f>
        <v>35826.24786</v>
      </c>
    </row>
    <row r="28" ht="14.25" customHeight="1">
      <c r="A28" s="1" t="s">
        <v>90</v>
      </c>
      <c r="B28" s="5">
        <v>72463.0</v>
      </c>
      <c r="C28" s="5">
        <v>87392.0</v>
      </c>
      <c r="D28" s="5">
        <v>92454.0</v>
      </c>
      <c r="E28" s="5">
        <v>114023.0</v>
      </c>
      <c r="F28" s="9">
        <f>E28+C.S!G23</f>
        <v>122252.6162</v>
      </c>
      <c r="G28" s="9">
        <f>F28+C.S!H23</f>
        <v>126804.5917</v>
      </c>
      <c r="H28" s="9">
        <f>G28+C.S!I23</f>
        <v>131917.7957</v>
      </c>
      <c r="I28" s="9">
        <f>H28+C.S!J23</f>
        <v>136659.1304</v>
      </c>
      <c r="J28" s="9">
        <f>I28+C.S!K23</f>
        <v>141484.2287</v>
      </c>
    </row>
    <row r="29" ht="14.25" customHeight="1">
      <c r="A29" s="1" t="s">
        <v>93</v>
      </c>
      <c r="B29" s="5">
        <v>13317.0</v>
      </c>
      <c r="C29" s="5">
        <v>14955.0</v>
      </c>
      <c r="D29" s="5">
        <v>4006.0</v>
      </c>
      <c r="E29" s="5">
        <v>32305.0</v>
      </c>
      <c r="F29" s="9" t="str">
        <f>E29+C.S!G24</f>
        <v>#REF!</v>
      </c>
      <c r="G29" s="9" t="str">
        <f>F29+C.S!H24</f>
        <v>#REF!</v>
      </c>
      <c r="H29" s="9" t="str">
        <f>G29+C.S!I24</f>
        <v>#REF!</v>
      </c>
      <c r="I29" s="9" t="str">
        <f>H29+C.S!J24</f>
        <v>#REF!</v>
      </c>
      <c r="J29" s="9" t="str">
        <f>I29+C.S!K24</f>
        <v>#REF!</v>
      </c>
    </row>
    <row r="30" ht="14.25" customHeight="1">
      <c r="A30" s="1" t="s">
        <v>94</v>
      </c>
      <c r="B30" s="5">
        <v>0.0</v>
      </c>
      <c r="C30" s="5">
        <v>0.0</v>
      </c>
      <c r="D30" s="5">
        <v>0.0</v>
      </c>
      <c r="E30" s="5">
        <v>0.0</v>
      </c>
      <c r="F30" s="9">
        <f>E30+C.S!G42</f>
        <v>0</v>
      </c>
      <c r="G30" s="9">
        <f>F30+C.S!H42</f>
        <v>0</v>
      </c>
      <c r="H30" s="9">
        <f>G30+C.S!I42</f>
        <v>0</v>
      </c>
      <c r="I30" s="9">
        <f>H30+C.S!J42</f>
        <v>0</v>
      </c>
      <c r="J30" s="9">
        <f>I30+C.S!K42</f>
        <v>0</v>
      </c>
    </row>
    <row r="31" ht="14.25" customHeight="1">
      <c r="A31" s="4" t="s">
        <v>96</v>
      </c>
      <c r="B31" s="20">
        <f t="shared" ref="B31:J31" si="8">SUM(B24:B29)</f>
        <v>1001978</v>
      </c>
      <c r="C31" s="20">
        <f t="shared" si="8"/>
        <v>1161689</v>
      </c>
      <c r="D31" s="20">
        <f t="shared" si="8"/>
        <v>1097519</v>
      </c>
      <c r="E31" s="20">
        <f t="shared" si="8"/>
        <v>1447780</v>
      </c>
      <c r="F31" s="20" t="str">
        <f t="shared" si="8"/>
        <v>#REF!</v>
      </c>
      <c r="G31" s="20" t="str">
        <f t="shared" si="8"/>
        <v>#REF!</v>
      </c>
      <c r="H31" s="20" t="str">
        <f t="shared" si="8"/>
        <v>#REF!</v>
      </c>
      <c r="I31" s="20" t="str">
        <f t="shared" si="8"/>
        <v>#REF!</v>
      </c>
      <c r="J31" s="20" t="str">
        <f t="shared" si="8"/>
        <v>#REF!</v>
      </c>
    </row>
    <row r="32" ht="14.25" customHeight="1"/>
    <row r="33" ht="14.25" customHeight="1">
      <c r="B33" s="19"/>
      <c r="C33" s="19"/>
      <c r="D33" s="19"/>
      <c r="E33" s="19"/>
      <c r="F33" s="19"/>
      <c r="G33" s="19"/>
      <c r="H33" s="19"/>
      <c r="I33" s="19"/>
      <c r="J33" s="19"/>
    </row>
    <row r="34" ht="14.25" customHeight="1">
      <c r="A34" s="4" t="s">
        <v>98</v>
      </c>
    </row>
    <row r="35" ht="14.25" customHeight="1">
      <c r="A35" s="1" t="s">
        <v>86</v>
      </c>
      <c r="B35" s="5">
        <v>223800.0</v>
      </c>
      <c r="C35" s="5">
        <v>204251.0</v>
      </c>
      <c r="D35" s="5">
        <v>179008.0</v>
      </c>
      <c r="E35" s="5">
        <v>159991.0</v>
      </c>
      <c r="F35" s="5">
        <f t="shared" ref="F35:J35" si="9">E35</f>
        <v>159991</v>
      </c>
      <c r="G35" s="5">
        <f t="shared" si="9"/>
        <v>159991</v>
      </c>
      <c r="H35" s="5">
        <f t="shared" si="9"/>
        <v>159991</v>
      </c>
      <c r="I35" s="5">
        <f t="shared" si="9"/>
        <v>159991</v>
      </c>
      <c r="J35" s="5">
        <f t="shared" si="9"/>
        <v>159991</v>
      </c>
    </row>
    <row r="36" ht="14.25" customHeight="1">
      <c r="A36" s="1" t="s">
        <v>99</v>
      </c>
      <c r="B36" s="5">
        <v>42286.0</v>
      </c>
      <c r="C36" s="5">
        <v>91838.0</v>
      </c>
      <c r="D36" s="5">
        <v>110893.0</v>
      </c>
      <c r="E36" s="5">
        <v>127066.0</v>
      </c>
      <c r="F36" s="89">
        <f>E36+C.S!G5+C.S!G14</f>
        <v>157991.5672</v>
      </c>
      <c r="G36" s="89">
        <f>F36+C.S!H43+C.S!H5+C.S!H14</f>
        <v>173026.441</v>
      </c>
      <c r="H36" s="89">
        <f>G36+C.S!I43+C.S!I5+C.S!I14</f>
        <v>209158.5545</v>
      </c>
      <c r="I36" s="89">
        <f>H36+C.S!J43+C.S!J5+C.S!J14</f>
        <v>230122.7531</v>
      </c>
      <c r="J36" s="89">
        <f>I36+C.S!K43+C.S!K5+C.S!K14</f>
        <v>273007.3067</v>
      </c>
    </row>
    <row r="37" ht="14.25" customHeight="1">
      <c r="A37" s="1" t="s">
        <v>102</v>
      </c>
      <c r="B37" s="5"/>
      <c r="C37" s="5"/>
      <c r="D37" s="5">
        <v>373951.0</v>
      </c>
      <c r="E37" s="5">
        <v>0.0</v>
      </c>
      <c r="F37" s="89">
        <f>E37+C.S!G43+C.S!G44</f>
        <v>0</v>
      </c>
      <c r="G37" s="89">
        <f>F37+C.S!H44</f>
        <v>0</v>
      </c>
      <c r="H37" s="89">
        <f>G37+C.S!I44</f>
        <v>0</v>
      </c>
      <c r="I37" s="89">
        <f>H37+C.S!J44</f>
        <v>0</v>
      </c>
      <c r="J37" s="89">
        <f>I37+C.S!K44</f>
        <v>0</v>
      </c>
    </row>
    <row r="38" ht="14.25" customHeight="1">
      <c r="A38" s="4" t="s">
        <v>104</v>
      </c>
      <c r="B38" s="20">
        <f t="shared" ref="B38:J38" si="10">SUM(B35:B36)</f>
        <v>266086</v>
      </c>
      <c r="C38" s="20">
        <f t="shared" si="10"/>
        <v>296089</v>
      </c>
      <c r="D38" s="20">
        <f t="shared" si="10"/>
        <v>289901</v>
      </c>
      <c r="E38" s="20">
        <f t="shared" si="10"/>
        <v>287057</v>
      </c>
      <c r="F38" s="20">
        <f t="shared" si="10"/>
        <v>317982.5672</v>
      </c>
      <c r="G38" s="20">
        <f t="shared" si="10"/>
        <v>333017.441</v>
      </c>
      <c r="H38" s="20">
        <f t="shared" si="10"/>
        <v>369149.5545</v>
      </c>
      <c r="I38" s="20">
        <f t="shared" si="10"/>
        <v>390113.7531</v>
      </c>
      <c r="J38" s="20">
        <f t="shared" si="10"/>
        <v>432998.3067</v>
      </c>
    </row>
    <row r="39" ht="14.25" customHeight="1">
      <c r="A39" s="4" t="s">
        <v>105</v>
      </c>
      <c r="B39" s="20">
        <f t="shared" ref="B39:J39" si="11">B38+B31</f>
        <v>1268064</v>
      </c>
      <c r="C39" s="20">
        <f t="shared" si="11"/>
        <v>1457778</v>
      </c>
      <c r="D39" s="20">
        <f t="shared" si="11"/>
        <v>1387420</v>
      </c>
      <c r="E39" s="20">
        <f t="shared" si="11"/>
        <v>1734837</v>
      </c>
      <c r="F39" s="20" t="str">
        <f t="shared" si="11"/>
        <v>#REF!</v>
      </c>
      <c r="G39" s="20" t="str">
        <f t="shared" si="11"/>
        <v>#REF!</v>
      </c>
      <c r="H39" s="20" t="str">
        <f t="shared" si="11"/>
        <v>#REF!</v>
      </c>
      <c r="I39" s="20" t="str">
        <f t="shared" si="11"/>
        <v>#REF!</v>
      </c>
      <c r="J39" s="20" t="str">
        <f t="shared" si="11"/>
        <v>#REF!</v>
      </c>
    </row>
    <row r="40" ht="14.25" customHeight="1"/>
    <row r="41" ht="14.25" customHeight="1">
      <c r="A41" s="4" t="s">
        <v>106</v>
      </c>
      <c r="B41" s="19"/>
      <c r="C41" s="19"/>
      <c r="D41" s="19"/>
      <c r="E41" s="19"/>
      <c r="F41" s="19"/>
      <c r="G41" s="19"/>
      <c r="H41" s="19"/>
      <c r="I41" s="19"/>
      <c r="J41" s="19"/>
    </row>
    <row r="42" ht="14.25" customHeight="1">
      <c r="A42" s="1" t="s">
        <v>107</v>
      </c>
      <c r="B42" s="5">
        <v>6418.0</v>
      </c>
      <c r="C42" s="5">
        <v>5613.0</v>
      </c>
      <c r="D42" s="5">
        <v>5632.0</v>
      </c>
      <c r="E42" s="5">
        <v>5665.0</v>
      </c>
      <c r="F42" s="19">
        <f>E42+C.S!G45+C.S!G11</f>
        <v>285430.8947</v>
      </c>
      <c r="G42" s="19">
        <f>F42+C.S!H45+C.S!H11</f>
        <v>574988.6175</v>
      </c>
      <c r="H42" s="19">
        <f>G42+C.S!I45+C.S!I11</f>
        <v>875545.4359</v>
      </c>
      <c r="I42" s="19">
        <f>H42+C.S!J45+C.S!J11</f>
        <v>1186301.416</v>
      </c>
      <c r="J42" s="19">
        <f>I42+C.S!K45+C.S!K11</f>
        <v>1507436.742</v>
      </c>
    </row>
    <row r="43" ht="14.25" customHeight="1">
      <c r="A43" s="1" t="s">
        <v>111</v>
      </c>
      <c r="B43" s="5">
        <v>4776804.0</v>
      </c>
      <c r="C43" s="5">
        <v>4975115.0</v>
      </c>
      <c r="D43" s="5">
        <v>5144922.0</v>
      </c>
      <c r="E43" s="5">
        <v>5430847.0</v>
      </c>
      <c r="F43" s="19">
        <f>E43+C.S!G46</f>
        <v>5327201</v>
      </c>
      <c r="G43" s="19">
        <f>F43+C.S!H46</f>
        <v>5223555</v>
      </c>
      <c r="H43" s="19">
        <f>G43+C.S!I46</f>
        <v>5119909</v>
      </c>
      <c r="I43" s="19">
        <f>H43+C.S!J46</f>
        <v>5016263</v>
      </c>
      <c r="J43" s="19">
        <f>I43+C.S!K46</f>
        <v>4912617</v>
      </c>
    </row>
    <row r="44" ht="14.25" customHeight="1">
      <c r="A44" s="1" t="s">
        <v>113</v>
      </c>
      <c r="B44" s="5">
        <v>9001173.0</v>
      </c>
      <c r="C44" s="5">
        <v>5939736.0</v>
      </c>
      <c r="D44" s="5">
        <v>7448784.0</v>
      </c>
      <c r="E44" s="5">
        <v>9354216.0</v>
      </c>
      <c r="F44" s="19" t="str">
        <f>E44+C.S!G3</f>
        <v>#REF!</v>
      </c>
      <c r="G44" s="19" t="str">
        <f>F44+C.S!H3</f>
        <v>#REF!</v>
      </c>
      <c r="H44" s="19" t="str">
        <f>G44+C.S!I3</f>
        <v>#REF!</v>
      </c>
      <c r="I44" s="19" t="str">
        <f>H44+C.S!J3</f>
        <v>#REF!</v>
      </c>
      <c r="J44" s="19" t="str">
        <f>I44+C.S!K3</f>
        <v>#REF!</v>
      </c>
    </row>
    <row r="45" ht="14.25" customHeight="1">
      <c r="A45" s="1" t="s">
        <v>115</v>
      </c>
      <c r="B45" s="5">
        <v>-159073.0</v>
      </c>
      <c r="C45" s="5">
        <v>-125337.0</v>
      </c>
      <c r="D45" s="5">
        <v>-269487.0</v>
      </c>
      <c r="E45" s="5">
        <v>-60841.0</v>
      </c>
      <c r="F45" s="19">
        <f>E45+C.S!G49</f>
        <v>-158460</v>
      </c>
      <c r="G45" s="19">
        <f>F45+C.S!H49</f>
        <v>-60607</v>
      </c>
      <c r="H45" s="19">
        <f>G45+C.S!I49</f>
        <v>-158226</v>
      </c>
      <c r="I45" s="19">
        <f>H45+C.S!J49</f>
        <v>-60373</v>
      </c>
      <c r="J45" s="19">
        <f>I45+C.S!K49</f>
        <v>-157992</v>
      </c>
    </row>
    <row r="46" ht="14.25" customHeight="1">
      <c r="D46" s="19"/>
      <c r="E46" s="19"/>
      <c r="F46" s="19"/>
      <c r="G46" s="19"/>
      <c r="H46" s="19"/>
      <c r="I46" s="19"/>
      <c r="J46" s="19"/>
    </row>
    <row r="47" ht="14.25" customHeight="1">
      <c r="A47" s="1" t="s">
        <v>117</v>
      </c>
      <c r="B47" s="5">
        <v>-6600281.0</v>
      </c>
      <c r="C47" s="5">
        <v>-2566383.0</v>
      </c>
      <c r="D47" s="5">
        <v>-6372133.0</v>
      </c>
      <c r="E47" s="5">
        <v>-6475779.0</v>
      </c>
      <c r="F47" s="5">
        <f t="shared" ref="F47:J47" si="12">E47</f>
        <v>-6475779</v>
      </c>
      <c r="G47" s="5">
        <f t="shared" si="12"/>
        <v>-6475779</v>
      </c>
      <c r="H47" s="5">
        <f t="shared" si="12"/>
        <v>-6475779</v>
      </c>
      <c r="I47" s="5">
        <f t="shared" si="12"/>
        <v>-6475779</v>
      </c>
      <c r="J47" s="5">
        <f t="shared" si="12"/>
        <v>-6475779</v>
      </c>
    </row>
    <row r="48" ht="14.25" customHeight="1">
      <c r="A48" s="4" t="s">
        <v>119</v>
      </c>
      <c r="B48" s="68">
        <f t="shared" ref="B48:J48" si="13">SUM(B42:B47)</f>
        <v>7025041</v>
      </c>
      <c r="C48" s="68">
        <f t="shared" si="13"/>
        <v>8228744</v>
      </c>
      <c r="D48" s="68">
        <f t="shared" si="13"/>
        <v>5957718</v>
      </c>
      <c r="E48" s="68">
        <f t="shared" si="13"/>
        <v>8254108</v>
      </c>
      <c r="F48" s="68" t="str">
        <f t="shared" si="13"/>
        <v>#REF!</v>
      </c>
      <c r="G48" s="68" t="str">
        <f t="shared" si="13"/>
        <v>#REF!</v>
      </c>
      <c r="H48" s="68" t="str">
        <f t="shared" si="13"/>
        <v>#REF!</v>
      </c>
      <c r="I48" s="68" t="str">
        <f t="shared" si="13"/>
        <v>#REF!</v>
      </c>
      <c r="J48" s="68" t="str">
        <f t="shared" si="13"/>
        <v>#REF!</v>
      </c>
    </row>
    <row r="49" ht="14.25" customHeight="1">
      <c r="A49" s="4" t="s">
        <v>122</v>
      </c>
      <c r="B49" s="53">
        <f t="shared" ref="B49:J49" si="14">B48+B39</f>
        <v>8293105</v>
      </c>
      <c r="C49" s="53">
        <f t="shared" si="14"/>
        <v>9686522</v>
      </c>
      <c r="D49" s="53">
        <f t="shared" si="14"/>
        <v>7345138</v>
      </c>
      <c r="E49" s="53">
        <f t="shared" si="14"/>
        <v>9988945</v>
      </c>
      <c r="F49" s="53" t="str">
        <f t="shared" si="14"/>
        <v>#REF!</v>
      </c>
      <c r="G49" s="53" t="str">
        <f t="shared" si="14"/>
        <v>#REF!</v>
      </c>
      <c r="H49" s="53" t="str">
        <f t="shared" si="14"/>
        <v>#REF!</v>
      </c>
      <c r="I49" s="53" t="str">
        <f t="shared" si="14"/>
        <v>#REF!</v>
      </c>
      <c r="J49" s="53" t="str">
        <f t="shared" si="14"/>
        <v>#REF!</v>
      </c>
    </row>
    <row r="50" ht="14.25" customHeight="1"/>
    <row r="51" ht="14.25" customHeight="1"/>
    <row r="52" ht="14.25" customHeight="1"/>
    <row r="53" ht="14.25" customHeight="1">
      <c r="A53" s="4"/>
      <c r="B53" s="5"/>
      <c r="C53" s="5"/>
      <c r="D53" s="5"/>
      <c r="E53" s="5"/>
      <c r="F53" s="5"/>
      <c r="G53" s="5"/>
      <c r="H53" s="5"/>
      <c r="I53" s="5"/>
      <c r="J53" s="5"/>
      <c r="K53" s="5"/>
    </row>
    <row r="54" ht="14.25" customHeight="1">
      <c r="B54" s="5"/>
      <c r="C54" s="5"/>
      <c r="D54" s="5"/>
      <c r="E54" s="5"/>
      <c r="F54" s="5"/>
      <c r="G54" s="5"/>
      <c r="H54" s="5"/>
      <c r="I54" s="5"/>
      <c r="J54" s="5"/>
      <c r="K54" s="5"/>
    </row>
    <row r="55" ht="14.25" customHeight="1"/>
    <row r="56" ht="14.25" customHeight="1"/>
    <row r="57" ht="14.25" customHeight="1"/>
    <row r="58" ht="14.25" customHeight="1">
      <c r="B58" s="19"/>
      <c r="C58" s="19"/>
    </row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DD6EE"/>
    <pageSetUpPr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4.43" defaultRowHeight="15.0" outlineLevelRow="1"/>
  <cols>
    <col customWidth="1" min="1" max="1" width="40.71"/>
    <col customWidth="1" min="2" max="2" width="15.0"/>
    <col customWidth="1" min="3" max="3" width="9.86"/>
    <col customWidth="1" min="4" max="4" width="11.57"/>
    <col customWidth="1" min="5" max="9" width="12.86"/>
    <col customWidth="1" min="10" max="10" width="12.57"/>
    <col customWidth="1" min="11" max="12" width="8.71"/>
    <col customWidth="1" min="13" max="13" width="13.86"/>
    <col customWidth="1" min="14" max="26" width="8.71"/>
  </cols>
  <sheetData>
    <row r="1" ht="14.25" customHeight="1"/>
    <row r="2" ht="14.25" customHeight="1">
      <c r="A2" s="1" t="s">
        <v>0</v>
      </c>
      <c r="B2" s="2">
        <v>2021.0</v>
      </c>
      <c r="C2" s="2">
        <v>2022.0</v>
      </c>
      <c r="D2" s="2">
        <v>2023.0</v>
      </c>
      <c r="E2" s="3">
        <f t="shared" ref="E2:I2" si="1">D2+1</f>
        <v>2024</v>
      </c>
      <c r="F2" s="3">
        <f t="shared" si="1"/>
        <v>2025</v>
      </c>
      <c r="G2" s="3">
        <f t="shared" si="1"/>
        <v>2026</v>
      </c>
      <c r="H2" s="3">
        <f t="shared" si="1"/>
        <v>2027</v>
      </c>
      <c r="I2" s="3">
        <f t="shared" si="1"/>
        <v>2028</v>
      </c>
    </row>
    <row r="3" ht="14.25" customHeight="1"/>
    <row r="4" ht="14.25" customHeight="1">
      <c r="A4" s="4" t="s">
        <v>29</v>
      </c>
    </row>
    <row r="5" ht="14.25" customHeight="1">
      <c r="A5" s="22" t="s">
        <v>30</v>
      </c>
      <c r="E5" s="19">
        <f>I.S!G22</f>
        <v>2428881.733</v>
      </c>
      <c r="F5" s="19">
        <f>I.S!H22</f>
        <v>2634459.998</v>
      </c>
      <c r="G5" s="19">
        <f>I.S!I22</f>
        <v>2865788.996</v>
      </c>
      <c r="H5" s="19">
        <f>I.S!J22</f>
        <v>3078453.625</v>
      </c>
      <c r="I5" s="19">
        <f>I.S!K22</f>
        <v>3294161.048</v>
      </c>
    </row>
    <row r="6" ht="14.25" customHeight="1">
      <c r="A6" s="22" t="s">
        <v>33</v>
      </c>
      <c r="E6" s="19">
        <f>C.S!G4</f>
        <v>-124400.3922</v>
      </c>
      <c r="F6" s="19">
        <f>C.S!H4</f>
        <v>-135851.1083</v>
      </c>
      <c r="G6" s="19">
        <f>C.S!I4</f>
        <v>-148309.4873</v>
      </c>
      <c r="H6" s="19">
        <f>C.S!J4</f>
        <v>-161702.2448</v>
      </c>
      <c r="I6" s="19">
        <f>C.S!K4</f>
        <v>-176045.8881</v>
      </c>
    </row>
    <row r="7" ht="14.25" customHeight="1">
      <c r="A7" s="22" t="s">
        <v>36</v>
      </c>
      <c r="E7" s="19" t="str">
        <f>C.S!G26</f>
        <v>#REF!</v>
      </c>
      <c r="F7" s="19" t="str">
        <f>C.S!H26</f>
        <v>#REF!</v>
      </c>
      <c r="G7" s="19" t="str">
        <f>C.S!I26</f>
        <v>#REF!</v>
      </c>
      <c r="H7" s="19" t="str">
        <f>C.S!J26</f>
        <v>#REF!</v>
      </c>
      <c r="I7" s="19" t="str">
        <f>C.S!K26</f>
        <v>#REF!</v>
      </c>
    </row>
    <row r="8" ht="14.25" customHeight="1">
      <c r="A8" s="22" t="s">
        <v>38</v>
      </c>
      <c r="E8" s="19">
        <f>C.S!G34</f>
        <v>-147751.175</v>
      </c>
      <c r="F8" s="19">
        <f>C.S!H34</f>
        <v>-160310.0249</v>
      </c>
      <c r="G8" s="19">
        <f>C.S!I34</f>
        <v>-174417.3071</v>
      </c>
      <c r="H8" s="19">
        <f>C.S!J34</f>
        <v>-187498.6051</v>
      </c>
      <c r="I8" s="19">
        <f>C.S!K34</f>
        <v>-200811.0061</v>
      </c>
    </row>
    <row r="9" ht="14.25" customHeight="1">
      <c r="A9" s="22" t="s">
        <v>39</v>
      </c>
      <c r="E9" s="19">
        <f>-(I.S!G30*'&gt;&gt;Valuation'!E5)</f>
        <v>-510065.1639</v>
      </c>
      <c r="F9" s="19">
        <f>-(I.S!H30*'&gt;&gt;Valuation'!F5)</f>
        <v>-553236.5995</v>
      </c>
      <c r="G9" s="19">
        <f>-(I.S!I30*'&gt;&gt;Valuation'!G5)</f>
        <v>-601815.6891</v>
      </c>
      <c r="H9" s="19">
        <f>-(I.S!J30*'&gt;&gt;Valuation'!H5)</f>
        <v>-646475.2612</v>
      </c>
      <c r="I9" s="19">
        <f>-(I.S!K30*'&gt;&gt;Valuation'!I5)</f>
        <v>-691773.8201</v>
      </c>
    </row>
    <row r="10" ht="14.25" customHeight="1">
      <c r="A10" s="4" t="s">
        <v>41</v>
      </c>
      <c r="B10" s="24"/>
      <c r="C10" s="24"/>
      <c r="D10" s="24"/>
      <c r="E10" s="20" t="str">
        <f t="shared" ref="E10:I10" si="2">SUM(E5:E9)</f>
        <v>#REF!</v>
      </c>
      <c r="F10" s="20" t="str">
        <f t="shared" si="2"/>
        <v>#REF!</v>
      </c>
      <c r="G10" s="20" t="str">
        <f t="shared" si="2"/>
        <v>#REF!</v>
      </c>
      <c r="H10" s="20" t="str">
        <f t="shared" si="2"/>
        <v>#REF!</v>
      </c>
      <c r="I10" s="20" t="str">
        <f t="shared" si="2"/>
        <v>#REF!</v>
      </c>
    </row>
    <row r="11" ht="14.25" customHeight="1"/>
    <row r="12" ht="14.25" customHeight="1">
      <c r="A12" s="25" t="s">
        <v>45</v>
      </c>
    </row>
    <row r="13" ht="14.25" customHeight="1">
      <c r="A13" s="22" t="s">
        <v>46</v>
      </c>
      <c r="E13" s="26">
        <v>1.0</v>
      </c>
      <c r="F13" s="26">
        <v>2.0</v>
      </c>
      <c r="G13" s="26">
        <v>3.0</v>
      </c>
      <c r="H13" s="26">
        <v>4.0</v>
      </c>
      <c r="I13" s="26">
        <v>5.0</v>
      </c>
    </row>
    <row r="14" ht="14.25" customHeight="1">
      <c r="A14" s="22" t="s">
        <v>47</v>
      </c>
      <c r="D14" s="27">
        <f>J25</f>
        <v>0.07148373959</v>
      </c>
      <c r="E14" s="19" t="str">
        <f t="shared" ref="E14:I14" si="3">E10/(1+$D$14)^E13</f>
        <v>#REF!</v>
      </c>
      <c r="F14" s="19" t="str">
        <f t="shared" si="3"/>
        <v>#REF!</v>
      </c>
      <c r="G14" s="19" t="str">
        <f t="shared" si="3"/>
        <v>#REF!</v>
      </c>
      <c r="H14" s="19" t="str">
        <f t="shared" si="3"/>
        <v>#REF!</v>
      </c>
      <c r="I14" s="19" t="str">
        <f t="shared" si="3"/>
        <v>#REF!</v>
      </c>
    </row>
    <row r="15" ht="14.25" customHeight="1">
      <c r="A15" s="25" t="s">
        <v>48</v>
      </c>
      <c r="D15" s="19" t="str">
        <f>SUM(E14:I14)</f>
        <v>#REF!</v>
      </c>
    </row>
    <row r="16" ht="14.25" customHeight="1"/>
    <row r="17" ht="14.25" customHeight="1">
      <c r="A17" s="25" t="s">
        <v>50</v>
      </c>
    </row>
    <row r="18" ht="14.25" customHeight="1">
      <c r="A18" s="28" t="s">
        <v>51</v>
      </c>
      <c r="B18" s="29"/>
      <c r="C18" s="29"/>
      <c r="D18" s="30"/>
      <c r="H18" s="31" t="s">
        <v>53</v>
      </c>
      <c r="I18" s="29"/>
      <c r="J18" s="29"/>
      <c r="K18" s="29"/>
      <c r="L18" s="29"/>
      <c r="M18" s="30"/>
    </row>
    <row r="19" ht="14.25" customHeight="1">
      <c r="A19" s="32" t="s">
        <v>54</v>
      </c>
      <c r="B19" s="33"/>
      <c r="C19" s="34">
        <f>I5+I6</f>
        <v>3118115.16</v>
      </c>
      <c r="D19" s="35"/>
      <c r="H19" s="36" t="s">
        <v>56</v>
      </c>
      <c r="I19" s="37"/>
      <c r="J19" s="38">
        <v>0.0479</v>
      </c>
      <c r="K19" s="39" t="s">
        <v>57</v>
      </c>
      <c r="L19" s="37"/>
      <c r="M19" s="40">
        <f>B.S!E30+B.S!E36+B.S!E37</f>
        <v>127066</v>
      </c>
    </row>
    <row r="20" ht="14.25" customHeight="1">
      <c r="A20" s="41" t="s">
        <v>59</v>
      </c>
      <c r="B20" s="37"/>
      <c r="C20" s="42">
        <f>(M22+M23)/I.S!K16</f>
        <v>25.91986473</v>
      </c>
      <c r="D20" s="43"/>
      <c r="H20" s="36" t="s">
        <v>61</v>
      </c>
      <c r="I20" s="37"/>
      <c r="J20" s="44">
        <v>0.0446</v>
      </c>
      <c r="K20" s="37" t="s">
        <v>62</v>
      </c>
      <c r="L20" s="37"/>
      <c r="M20" s="45">
        <v>46.68</v>
      </c>
    </row>
    <row r="21" ht="14.25" customHeight="1">
      <c r="A21" s="41" t="s">
        <v>50</v>
      </c>
      <c r="B21" s="37"/>
      <c r="C21" s="46">
        <f>C20*C19</f>
        <v>80821123.15</v>
      </c>
      <c r="D21" s="47"/>
      <c r="H21" s="36" t="s">
        <v>64</v>
      </c>
      <c r="I21" s="48"/>
      <c r="J21" s="49">
        <v>0.53</v>
      </c>
      <c r="K21" s="37" t="s">
        <v>65</v>
      </c>
      <c r="L21" s="37"/>
      <c r="M21" s="40">
        <f>I.S!F38</f>
        <v>1968902</v>
      </c>
    </row>
    <row r="22" ht="14.25" customHeight="1">
      <c r="A22" s="50" t="s">
        <v>66</v>
      </c>
      <c r="B22" s="37"/>
      <c r="C22" s="51">
        <f>C21/(1+D14)^I13</f>
        <v>57226470.04</v>
      </c>
      <c r="D22" s="52"/>
      <c r="H22" s="36" t="s">
        <v>68</v>
      </c>
      <c r="I22" s="37"/>
      <c r="J22" s="55">
        <f>J19+(J21*J20)</f>
        <v>0.071538</v>
      </c>
      <c r="K22" s="39" t="s">
        <v>70</v>
      </c>
      <c r="L22" s="37"/>
      <c r="M22" s="56">
        <f>M21*M20</f>
        <v>91908345.36</v>
      </c>
    </row>
    <row r="23" ht="14.25" customHeight="1">
      <c r="A23" s="31" t="s">
        <v>71</v>
      </c>
      <c r="B23" s="29"/>
      <c r="C23" s="29"/>
      <c r="D23" s="30"/>
      <c r="H23" s="36" t="s">
        <v>72</v>
      </c>
      <c r="I23" s="37"/>
      <c r="J23" s="57">
        <v>0.042</v>
      </c>
      <c r="K23" s="37" t="s">
        <v>73</v>
      </c>
      <c r="L23" s="37"/>
      <c r="M23" s="58">
        <f>'&gt;&gt;Valuation'!M19-B.S!E3</f>
        <v>-1961051</v>
      </c>
    </row>
    <row r="24" ht="14.25" customHeight="1">
      <c r="A24" s="41" t="s">
        <v>29</v>
      </c>
      <c r="B24" s="37"/>
      <c r="C24" s="34" t="str">
        <f>I10</f>
        <v>#REF!</v>
      </c>
      <c r="D24" s="35"/>
      <c r="H24" s="36"/>
      <c r="I24" s="37"/>
      <c r="J24" s="45"/>
      <c r="L24" s="37"/>
      <c r="M24" s="45"/>
    </row>
    <row r="25" ht="14.25" customHeight="1">
      <c r="A25" s="41" t="s">
        <v>76</v>
      </c>
      <c r="B25" s="37"/>
      <c r="C25" s="59">
        <v>0.03</v>
      </c>
      <c r="D25" s="43"/>
      <c r="H25" s="60" t="s">
        <v>77</v>
      </c>
      <c r="I25" s="61"/>
      <c r="J25" s="62">
        <f>((M22/(M22+M19))*J22)+(M19/(M22+M19)*(J23*(1-I.S!F30)))</f>
        <v>0.07148373959</v>
      </c>
      <c r="K25" s="63" t="s">
        <v>78</v>
      </c>
      <c r="L25" s="61"/>
      <c r="M25" s="64">
        <f>M22+M23</f>
        <v>89947294.36</v>
      </c>
    </row>
    <row r="26" ht="14.25" customHeight="1">
      <c r="A26" s="41" t="s">
        <v>50</v>
      </c>
      <c r="B26" s="37"/>
      <c r="C26" s="46" t="str">
        <f>C24*(1+C25)/(D14-C25)</f>
        <v>#REF!</v>
      </c>
      <c r="D26" s="47"/>
    </row>
    <row r="27" ht="14.25" customHeight="1">
      <c r="A27" s="65" t="s">
        <v>66</v>
      </c>
      <c r="B27" s="61"/>
      <c r="C27" s="66" t="str">
        <f>C26/(1+D14)^I13</f>
        <v>#REF!</v>
      </c>
      <c r="D27" s="52"/>
    </row>
    <row r="28" ht="14.25" customHeight="1"/>
    <row r="29" ht="14.25" customHeight="1">
      <c r="A29" s="31" t="s">
        <v>81</v>
      </c>
      <c r="B29" s="67" t="s">
        <v>51</v>
      </c>
      <c r="C29" s="69" t="s">
        <v>71</v>
      </c>
      <c r="D29" s="43"/>
    </row>
    <row r="30" ht="14.25" customHeight="1">
      <c r="A30" s="36" t="s">
        <v>82</v>
      </c>
      <c r="B30" s="70" t="str">
        <f>D15</f>
        <v>#REF!</v>
      </c>
      <c r="C30" s="34" t="str">
        <f>D15</f>
        <v>#REF!</v>
      </c>
      <c r="D30" s="35"/>
    </row>
    <row r="31" ht="14.25" customHeight="1">
      <c r="A31" s="36" t="s">
        <v>84</v>
      </c>
      <c r="B31" s="71">
        <f>C22</f>
        <v>57226470.04</v>
      </c>
      <c r="C31" s="72" t="str">
        <f>C27</f>
        <v>#REF!</v>
      </c>
      <c r="D31" s="47"/>
    </row>
    <row r="32" ht="14.25" customHeight="1">
      <c r="A32" s="73" t="s">
        <v>85</v>
      </c>
      <c r="B32" s="70" t="str">
        <f>SUM(B30:B31)</f>
        <v>#REF!</v>
      </c>
      <c r="C32" s="72" t="str">
        <f>SUM(C30:D31)</f>
        <v>#REF!</v>
      </c>
      <c r="D32" s="47"/>
    </row>
    <row r="33" ht="14.25" customHeight="1">
      <c r="A33" s="36" t="s">
        <v>87</v>
      </c>
      <c r="B33" s="71">
        <f>M23</f>
        <v>-1961051</v>
      </c>
      <c r="C33" s="72">
        <f>B33</f>
        <v>-1961051</v>
      </c>
      <c r="D33" s="47"/>
    </row>
    <row r="34" ht="14.25" customHeight="1">
      <c r="A34" s="73" t="s">
        <v>70</v>
      </c>
      <c r="B34" s="70" t="str">
        <f t="shared" ref="B34:C34" si="4">B32-B33</f>
        <v>#REF!</v>
      </c>
      <c r="C34" s="74" t="str">
        <f t="shared" si="4"/>
        <v>#REF!</v>
      </c>
      <c r="D34" s="47"/>
    </row>
    <row r="35" ht="14.25" customHeight="1">
      <c r="A35" s="36" t="s">
        <v>89</v>
      </c>
      <c r="B35" s="71">
        <f>M21</f>
        <v>1968902</v>
      </c>
      <c r="C35" s="72">
        <f>B35</f>
        <v>1968902</v>
      </c>
      <c r="D35" s="47"/>
    </row>
    <row r="36" ht="14.25" customHeight="1">
      <c r="A36" s="63" t="s">
        <v>91</v>
      </c>
      <c r="B36" s="75" t="str">
        <f t="shared" ref="B36:C36" si="5">B34/B35</f>
        <v>#REF!</v>
      </c>
      <c r="C36" s="76" t="str">
        <f t="shared" si="5"/>
        <v>#REF!</v>
      </c>
      <c r="D36" s="52"/>
    </row>
    <row r="37" ht="14.25" customHeight="1"/>
    <row r="38" ht="14.25" customHeight="1"/>
    <row r="39" ht="14.25" customHeight="1">
      <c r="C39" s="77"/>
      <c r="D39" s="77"/>
      <c r="E39" s="78" t="s">
        <v>92</v>
      </c>
      <c r="F39" s="77"/>
      <c r="G39" s="77"/>
    </row>
    <row r="40" ht="14.25" customHeight="1">
      <c r="B40" s="79" t="str">
        <f>B36</f>
        <v>#REF!</v>
      </c>
      <c r="C40" s="80">
        <f t="shared" ref="C40:D40" si="6">D40-1</f>
        <v>24</v>
      </c>
      <c r="D40" s="80">
        <f t="shared" si="6"/>
        <v>25</v>
      </c>
      <c r="E40" s="81">
        <v>26.0</v>
      </c>
      <c r="F40" s="80">
        <f t="shared" ref="F40:G40" si="7">E40+1</f>
        <v>27</v>
      </c>
      <c r="G40" s="80">
        <f t="shared" si="7"/>
        <v>28</v>
      </c>
    </row>
    <row r="41" ht="14.25" customHeight="1">
      <c r="B41" s="27">
        <f t="shared" ref="B41:B42" si="8">B42-1%</f>
        <v>0.0515</v>
      </c>
      <c r="C41" s="82">
        <v>34.563002889964096</v>
      </c>
      <c r="D41" s="83">
        <v>35.795033974930874</v>
      </c>
      <c r="E41" s="83">
        <v>37.027065059897645</v>
      </c>
      <c r="F41" s="83">
        <v>38.25909614486442</v>
      </c>
      <c r="G41" s="83">
        <v>39.49112722983119</v>
      </c>
    </row>
    <row r="42" ht="14.25" customHeight="1">
      <c r="B42" s="27">
        <f t="shared" si="8"/>
        <v>0.0615</v>
      </c>
      <c r="C42" s="84">
        <v>33.082935339101084</v>
      </c>
      <c r="D42" s="85">
        <v>34.25801702617596</v>
      </c>
      <c r="E42" s="85">
        <v>35.433098713250835</v>
      </c>
      <c r="F42" s="85">
        <v>36.60818040032571</v>
      </c>
      <c r="G42" s="86">
        <v>37.78326208740058</v>
      </c>
    </row>
    <row r="43" ht="14.25" customHeight="1">
      <c r="B43" s="87">
        <v>0.0715</v>
      </c>
      <c r="C43" s="84">
        <v>31.682880707229053</v>
      </c>
      <c r="D43" s="85">
        <v>32.80414288726797</v>
      </c>
      <c r="E43" s="88">
        <v>33.925405067306905</v>
      </c>
      <c r="F43" s="85">
        <v>35.04666724734582</v>
      </c>
      <c r="G43" s="86">
        <v>36.16792942738475</v>
      </c>
    </row>
    <row r="44" ht="14.25" customHeight="1">
      <c r="B44" s="27">
        <f t="shared" ref="B44:B45" si="9">B43+1%</f>
        <v>0.0815</v>
      </c>
      <c r="C44" s="84">
        <v>30.35779802945719</v>
      </c>
      <c r="D44" s="85">
        <v>31.428171734819294</v>
      </c>
      <c r="E44" s="85">
        <v>32.4985454401814</v>
      </c>
      <c r="F44" s="85">
        <v>33.56891914554352</v>
      </c>
      <c r="G44" s="86">
        <v>34.63929285090561</v>
      </c>
    </row>
    <row r="45" ht="14.25" customHeight="1">
      <c r="B45" s="27">
        <f t="shared" si="9"/>
        <v>0.0915</v>
      </c>
      <c r="C45" s="84">
        <v>29.103007216703254</v>
      </c>
      <c r="D45" s="86">
        <v>30.125238930448262</v>
      </c>
      <c r="E45" s="86">
        <v>31.14747064419327</v>
      </c>
      <c r="F45" s="86">
        <v>32.169702357938284</v>
      </c>
      <c r="G45" s="86">
        <v>33.19193407168329</v>
      </c>
    </row>
    <row r="46" ht="14.25" customHeight="1">
      <c r="B46" s="80"/>
      <c r="C46" s="86"/>
      <c r="D46" s="86"/>
      <c r="E46" s="86"/>
      <c r="F46" s="86"/>
      <c r="G46" s="86"/>
    </row>
    <row r="47" ht="14.25" customHeight="1"/>
    <row r="48" ht="14.25" customHeight="1">
      <c r="C48" s="77"/>
      <c r="D48" s="77"/>
      <c r="E48" s="78" t="s">
        <v>97</v>
      </c>
      <c r="F48" s="77"/>
      <c r="G48" s="77"/>
    </row>
    <row r="49" ht="14.25" customHeight="1">
      <c r="B49" s="79" t="str">
        <f>C36</f>
        <v>#REF!</v>
      </c>
      <c r="C49" s="27">
        <f t="shared" ref="C49:D49" si="10">D49-0.5%</f>
        <v>0.02</v>
      </c>
      <c r="D49" s="27">
        <f t="shared" si="10"/>
        <v>0.025</v>
      </c>
      <c r="E49" s="87">
        <v>0.03</v>
      </c>
      <c r="F49" s="27">
        <f t="shared" ref="F49:G49" si="11">E49+0.5%</f>
        <v>0.035</v>
      </c>
      <c r="G49" s="27">
        <f t="shared" si="11"/>
        <v>0.04</v>
      </c>
    </row>
    <row r="50" ht="14.25" customHeight="1">
      <c r="B50" s="27">
        <f t="shared" ref="B50:B51" si="12">B51-0.5%</f>
        <v>0.0615</v>
      </c>
      <c r="C50" s="82">
        <v>24.49702545214107</v>
      </c>
      <c r="D50" s="83">
        <v>27.293484989464663</v>
      </c>
      <c r="E50" s="83">
        <v>30.977709459271928</v>
      </c>
      <c r="F50" s="83">
        <v>36.05220731391212</v>
      </c>
      <c r="G50" s="83">
        <v>43.48693672885009</v>
      </c>
    </row>
    <row r="51" ht="14.25" customHeight="1">
      <c r="B51" s="27">
        <f t="shared" si="12"/>
        <v>0.0665</v>
      </c>
      <c r="C51" s="84">
        <v>21.926434939836184</v>
      </c>
      <c r="D51" s="85">
        <v>24.080629903582878</v>
      </c>
      <c r="E51" s="85">
        <v>26.825015268356086</v>
      </c>
      <c r="F51" s="85">
        <v>30.44063408226363</v>
      </c>
      <c r="G51" s="86">
        <v>35.42063735424949</v>
      </c>
    </row>
    <row r="52" ht="14.25" customHeight="1">
      <c r="B52" s="87">
        <v>0.0715</v>
      </c>
      <c r="C52" s="84">
        <v>19.85572124324201</v>
      </c>
      <c r="D52" s="85">
        <v>21.559450618765812</v>
      </c>
      <c r="E52" s="88">
        <v>23.67371719321103</v>
      </c>
      <c r="F52" s="85">
        <v>26.367234883942594</v>
      </c>
      <c r="G52" s="86">
        <v>29.915837555858786</v>
      </c>
    </row>
    <row r="53" ht="14.25" customHeight="1">
      <c r="B53" s="27">
        <f t="shared" ref="B53:B54" si="13">B52+0.5%</f>
        <v>0.0765</v>
      </c>
      <c r="C53" s="84">
        <v>18.15215757554922</v>
      </c>
      <c r="D53" s="85">
        <v>19.52847206323077</v>
      </c>
      <c r="E53" s="85">
        <v>21.200768161166415</v>
      </c>
      <c r="F53" s="85">
        <v>23.276027174267266</v>
      </c>
      <c r="G53" s="86">
        <v>25.919850300546443</v>
      </c>
    </row>
    <row r="54" ht="14.25" customHeight="1">
      <c r="B54" s="27">
        <f t="shared" si="13"/>
        <v>0.0815</v>
      </c>
      <c r="C54" s="84">
        <v>16.726180765927438</v>
      </c>
      <c r="D54" s="86">
        <v>17.85753820353558</v>
      </c>
      <c r="E54" s="86">
        <v>19.208576696989958</v>
      </c>
      <c r="F54" s="86">
        <v>20.85016110301517</v>
      </c>
      <c r="G54" s="86">
        <v>22.887308016516346</v>
      </c>
    </row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16">
    <mergeCell ref="C19:D19"/>
    <mergeCell ref="C20:D20"/>
    <mergeCell ref="C21:D21"/>
    <mergeCell ref="C22:D22"/>
    <mergeCell ref="C24:D24"/>
    <mergeCell ref="C25:D25"/>
    <mergeCell ref="C26:D26"/>
    <mergeCell ref="C35:D35"/>
    <mergeCell ref="C36:D36"/>
    <mergeCell ref="C27:D27"/>
    <mergeCell ref="C29:D29"/>
    <mergeCell ref="C30:D30"/>
    <mergeCell ref="C31:D31"/>
    <mergeCell ref="C32:D32"/>
    <mergeCell ref="C33:D33"/>
    <mergeCell ref="C34:D34"/>
  </mergeCells>
  <printOptions/>
  <pageMargins bottom="0.75" footer="0.0" header="0.0" left="0.7" right="0.7" top="0.75"/>
  <pageSetup orientation="landscape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5B5"/>
    <pageSetUpPr/>
  </sheetPr>
  <sheetViews>
    <sheetView workbookViewId="0"/>
  </sheetViews>
  <sheetFormatPr customHeight="1" defaultColWidth="14.43" defaultRowHeight="15.0" outlineLevelRow="1"/>
  <cols>
    <col customWidth="1" min="1" max="1" width="57.43"/>
    <col customWidth="1" min="2" max="2" width="10.57"/>
    <col customWidth="1" min="3" max="11" width="15.71"/>
    <col customWidth="1" min="12" max="26" width="8.71"/>
  </cols>
  <sheetData>
    <row r="1" ht="14.25" customHeight="1">
      <c r="A1" s="95" t="s">
        <v>141</v>
      </c>
      <c r="B1" s="96"/>
      <c r="C1" s="96"/>
      <c r="D1" s="96"/>
      <c r="E1" s="96"/>
      <c r="F1" s="96"/>
      <c r="G1" s="96"/>
      <c r="H1" s="96"/>
    </row>
    <row r="2" ht="14.25" customHeight="1">
      <c r="A2" s="95"/>
      <c r="B2" s="96"/>
      <c r="C2" s="96"/>
      <c r="D2" s="96"/>
      <c r="E2" s="96"/>
      <c r="F2" s="96"/>
      <c r="G2" s="96"/>
      <c r="H2" s="96"/>
    </row>
    <row r="3" ht="14.25" customHeight="1">
      <c r="A3" s="2" t="s">
        <v>144</v>
      </c>
      <c r="B3" s="2">
        <v>2021.0</v>
      </c>
      <c r="C3" s="2">
        <v>2022.0</v>
      </c>
      <c r="D3" s="2">
        <v>2023.0</v>
      </c>
      <c r="E3" s="2">
        <f t="shared" ref="E3:K3" si="1">D3+1</f>
        <v>2024</v>
      </c>
      <c r="F3" s="2">
        <f t="shared" si="1"/>
        <v>2025</v>
      </c>
      <c r="G3" s="3">
        <f t="shared" si="1"/>
        <v>2026</v>
      </c>
      <c r="H3" s="3">
        <f t="shared" si="1"/>
        <v>2027</v>
      </c>
      <c r="I3" s="3">
        <f t="shared" si="1"/>
        <v>2028</v>
      </c>
      <c r="J3" s="3">
        <f t="shared" si="1"/>
        <v>2029</v>
      </c>
      <c r="K3" s="3">
        <f t="shared" si="1"/>
        <v>2030</v>
      </c>
    </row>
    <row r="4" ht="14.25" customHeight="1">
      <c r="A4" s="99" t="s">
        <v>148</v>
      </c>
      <c r="B4" s="100"/>
      <c r="C4" s="5">
        <f>B.S!B5</f>
        <v>1016203</v>
      </c>
      <c r="D4" s="5">
        <f>B.S!C5</f>
        <v>1193964</v>
      </c>
      <c r="E4" s="5">
        <f>B.S!D5</f>
        <v>1221646</v>
      </c>
      <c r="F4" s="5">
        <f>B.S!E5</f>
        <v>1618072</v>
      </c>
      <c r="G4" s="19">
        <f>G5*I.S!G2/360</f>
        <v>1504459.658</v>
      </c>
      <c r="H4" s="19">
        <f>H5*I.S!H2/360</f>
        <v>1632338.729</v>
      </c>
      <c r="I4" s="19">
        <f>I5*I.S!I2/360</f>
        <v>1775984.537</v>
      </c>
      <c r="J4" s="19">
        <f>J5*I.S!J2/360</f>
        <v>1909183.378</v>
      </c>
      <c r="K4" s="19">
        <f>K5*I.S!K2/360</f>
        <v>2044735.397</v>
      </c>
    </row>
    <row r="5" ht="14.25" customHeight="1">
      <c r="A5" s="102" t="s">
        <v>149</v>
      </c>
      <c r="C5" s="19"/>
      <c r="D5" s="103">
        <f>360/(I.S!D2/AVERAGE('Working Capital Schedule'!C4:D4))</f>
        <v>55.7182851</v>
      </c>
      <c r="E5" s="103">
        <f>360/(I.S!E2/AVERAGE('Working Capital Schedule'!D4:E4))</f>
        <v>58.03105392</v>
      </c>
      <c r="F5" s="103">
        <f>360/(I.S!F2/AVERAGE('Working Capital Schedule'!E4:F4))</f>
        <v>61.62624815</v>
      </c>
      <c r="G5" s="103">
        <f>AVERAGE(D5:F5)</f>
        <v>58.45852906</v>
      </c>
      <c r="H5" s="103">
        <v>58.458529058575</v>
      </c>
      <c r="I5" s="103">
        <v>58.458529058575</v>
      </c>
      <c r="J5" s="103">
        <v>58.458529058575</v>
      </c>
      <c r="K5" s="103">
        <v>58.458529058575</v>
      </c>
    </row>
    <row r="6" ht="14.25" customHeight="1">
      <c r="A6" s="99" t="s">
        <v>152</v>
      </c>
      <c r="B6" s="19"/>
      <c r="C6" s="5">
        <f>B.S!B6</f>
        <v>935631</v>
      </c>
      <c r="D6" s="5">
        <f>B.S!C6</f>
        <v>971406</v>
      </c>
      <c r="E6" s="5">
        <f>B.S!D6</f>
        <v>737107</v>
      </c>
      <c r="F6" s="5">
        <f>B.S!E6</f>
        <v>799623</v>
      </c>
      <c r="G6" s="19">
        <f>G7*-I.S!G4/360</f>
        <v>907169.9306</v>
      </c>
      <c r="H6" s="19">
        <f>H7*-I.S!H4/360</f>
        <v>984279.3747</v>
      </c>
      <c r="I6" s="19">
        <f>I7*-I.S!I4/360</f>
        <v>1070895.96</v>
      </c>
      <c r="J6" s="19">
        <f>J7*-I.S!J4/360</f>
        <v>1151213.157</v>
      </c>
      <c r="K6" s="19">
        <f>K7*-I.S!K4/360</f>
        <v>1232949.291</v>
      </c>
    </row>
    <row r="7" ht="14.25" customHeight="1">
      <c r="A7" s="102" t="s">
        <v>155</v>
      </c>
      <c r="B7" s="104"/>
      <c r="C7" s="105"/>
      <c r="D7" s="105">
        <f>360/(-I.S!D4/AVERAGE('Working Capital Schedule'!C6:D6))</f>
        <v>102.5956439</v>
      </c>
      <c r="E7" s="105">
        <f>360/(-I.S!E4/AVERAGE('Working Capital Schedule'!D6:E6))</f>
        <v>89.29948653</v>
      </c>
      <c r="F7" s="105">
        <f>360/(-I.S!F4/AVERAGE('Working Capital Schedule'!E6:F6))</f>
        <v>75.5325563</v>
      </c>
      <c r="G7" s="103">
        <f>F7</f>
        <v>75.5325563</v>
      </c>
      <c r="H7" s="103">
        <v>75.53255630302216</v>
      </c>
      <c r="I7" s="103">
        <v>75.53255630302216</v>
      </c>
      <c r="J7" s="103">
        <v>75.53255630302216</v>
      </c>
      <c r="K7" s="103">
        <v>75.53255630302216</v>
      </c>
    </row>
    <row r="8" ht="14.25" customHeight="1">
      <c r="A8" s="99" t="s">
        <v>58</v>
      </c>
      <c r="B8" s="104"/>
      <c r="C8" s="5">
        <f>B.S!B7</f>
        <v>109823</v>
      </c>
      <c r="D8" s="5">
        <f>B.S!C7</f>
        <v>116195</v>
      </c>
      <c r="E8" s="5">
        <f>B.S!D7</f>
        <v>107262</v>
      </c>
      <c r="F8" s="5">
        <f>B.S!E7</f>
        <v>103551</v>
      </c>
      <c r="G8" s="19">
        <f>G9*-I.S!G15/360</f>
        <v>119942.8397</v>
      </c>
      <c r="H8" s="19">
        <f>H9*-I.S!H15/360</f>
        <v>130137.9873</v>
      </c>
      <c r="I8" s="19">
        <f>I9*-I.S!I15/360</f>
        <v>141590.1302</v>
      </c>
      <c r="J8" s="19">
        <f>J9*-I.S!J15/360</f>
        <v>152209.39</v>
      </c>
      <c r="K8" s="19">
        <f>K9*-I.S!K15/360</f>
        <v>163016.2567</v>
      </c>
    </row>
    <row r="9" ht="14.25" customHeight="1">
      <c r="A9" s="106" t="s">
        <v>157</v>
      </c>
      <c r="B9" s="104"/>
      <c r="C9" s="105"/>
      <c r="D9" s="105">
        <f>360/(-I.S!D15/AVERAGE('Working Capital Schedule'!C8:D8))</f>
        <v>22.95954802</v>
      </c>
      <c r="E9" s="105">
        <f>360/(-I.S!E15/AVERAGE('Working Capital Schedule'!D8:E8))</f>
        <v>19.73469077</v>
      </c>
      <c r="F9" s="105">
        <f>360/(-I.S!F15/AVERAGE('Working Capital Schedule'!E8:F8))</f>
        <v>18.08346359</v>
      </c>
      <c r="G9" s="103">
        <f>F9</f>
        <v>18.08346359</v>
      </c>
      <c r="H9" s="103">
        <v>18.083464460838396</v>
      </c>
      <c r="I9" s="103">
        <v>18.083464460838396</v>
      </c>
      <c r="J9" s="103">
        <v>18.083464460838396</v>
      </c>
      <c r="K9" s="103">
        <v>18.083464460838396</v>
      </c>
    </row>
    <row r="10" ht="14.25" customHeight="1">
      <c r="A10" s="1" t="s">
        <v>26</v>
      </c>
      <c r="B10" s="104"/>
      <c r="C10" s="5">
        <f>B.S!B8</f>
        <v>33785</v>
      </c>
      <c r="D10" s="5">
        <f>B.S!C8</f>
        <v>54151</v>
      </c>
      <c r="E10" s="5">
        <f>B.S!D8</f>
        <v>42202</v>
      </c>
      <c r="F10" s="5">
        <f>B.S!E8</f>
        <v>74637</v>
      </c>
      <c r="G10" s="110" t="str">
        <f>G11*-I.S!G29/360</f>
        <v>#REF!</v>
      </c>
      <c r="H10" s="110" t="str">
        <f>H11*-I.S!H29/360</f>
        <v>#REF!</v>
      </c>
      <c r="I10" s="110" t="str">
        <f>I11*-I.S!I29/360</f>
        <v>#REF!</v>
      </c>
      <c r="J10" s="110" t="str">
        <f>J11*-I.S!J29/360</f>
        <v>#REF!</v>
      </c>
      <c r="K10" s="110" t="str">
        <f>K11*-I.S!K29/360</f>
        <v>#REF!</v>
      </c>
    </row>
    <row r="11" ht="14.25" customHeight="1">
      <c r="A11" s="102" t="s">
        <v>163</v>
      </c>
      <c r="B11" s="104"/>
      <c r="C11" s="105"/>
      <c r="D11" s="105">
        <f>360/(-I.S!D29/AVERAGE('Working Capital Schedule'!C10:D10))</f>
        <v>36.17987904</v>
      </c>
      <c r="E11" s="105">
        <f>360/(-I.S!E29/AVERAGE('Working Capital Schedule'!D10:E10))</f>
        <v>36.10146312</v>
      </c>
      <c r="F11" s="105">
        <f>360/(-I.S!F29/AVERAGE('Working Capital Schedule'!E10:F10))</f>
        <v>36.44278172</v>
      </c>
      <c r="G11" s="103">
        <f>AVERAGE(D11:F11)</f>
        <v>36.24137463</v>
      </c>
      <c r="H11" s="103">
        <v>36.241374625538235</v>
      </c>
      <c r="I11" s="103">
        <v>36.241374625538235</v>
      </c>
      <c r="J11" s="103">
        <v>36.241374625538235</v>
      </c>
      <c r="K11" s="103">
        <v>36.241374625538235</v>
      </c>
    </row>
    <row r="12" ht="14.25" customHeight="1">
      <c r="A12" s="99" t="s">
        <v>166</v>
      </c>
      <c r="B12" s="111"/>
      <c r="C12" s="20">
        <f t="shared" ref="C12:K12" si="2">C10+C8+C6+C4</f>
        <v>2095442</v>
      </c>
      <c r="D12" s="20">
        <f t="shared" si="2"/>
        <v>2335716</v>
      </c>
      <c r="E12" s="20">
        <f t="shared" si="2"/>
        <v>2108217</v>
      </c>
      <c r="F12" s="20">
        <f t="shared" si="2"/>
        <v>2595883</v>
      </c>
      <c r="G12" s="20" t="str">
        <f t="shared" si="2"/>
        <v>#REF!</v>
      </c>
      <c r="H12" s="20" t="str">
        <f t="shared" si="2"/>
        <v>#REF!</v>
      </c>
      <c r="I12" s="20" t="str">
        <f t="shared" si="2"/>
        <v>#REF!</v>
      </c>
      <c r="J12" s="20" t="str">
        <f t="shared" si="2"/>
        <v>#REF!</v>
      </c>
      <c r="K12" s="20" t="str">
        <f t="shared" si="2"/>
        <v>#REF!</v>
      </c>
    </row>
    <row r="13" ht="14.25" customHeight="1">
      <c r="A13" s="12"/>
      <c r="B13" s="112"/>
      <c r="C13" s="112"/>
      <c r="D13" s="112"/>
      <c r="E13" s="112"/>
      <c r="F13" s="112"/>
      <c r="G13" s="112"/>
    </row>
    <row r="14" ht="14.25" customHeight="1">
      <c r="A14" s="99" t="s">
        <v>168</v>
      </c>
      <c r="B14" s="19"/>
      <c r="C14" s="5">
        <f>B.S!B24</f>
        <v>444265</v>
      </c>
      <c r="D14" s="5">
        <f>B.S!C24</f>
        <v>564379</v>
      </c>
      <c r="E14" s="5">
        <f>B.S!D24</f>
        <v>466775</v>
      </c>
      <c r="F14" s="5">
        <f>B.S!E24</f>
        <v>565974</v>
      </c>
      <c r="G14" s="19">
        <f>G15*-I.S!G4/360</f>
        <v>609657.4146</v>
      </c>
      <c r="H14" s="19">
        <f>H15*-I.S!H4/360</f>
        <v>661478.2948</v>
      </c>
      <c r="I14" s="19">
        <f>I15*-I.S!I4/360</f>
        <v>719688.3847</v>
      </c>
      <c r="J14" s="19">
        <f>J15*-I.S!J4/360</f>
        <v>773665.0136</v>
      </c>
      <c r="K14" s="19">
        <f>K15*-I.S!K4/360</f>
        <v>828595.2296</v>
      </c>
    </row>
    <row r="15" ht="14.25" customHeight="1">
      <c r="A15" s="102" t="s">
        <v>172</v>
      </c>
      <c r="B15" s="104"/>
      <c r="C15" s="105"/>
      <c r="D15" s="105">
        <f>360/(-I.S!D4/AVERAGE('Working Capital Schedule'!C14:D14))</f>
        <v>54.26348869</v>
      </c>
      <c r="E15" s="105">
        <f>360/(-I.S!E4/AVERAGE('Working Capital Schedule'!D14:E14))</f>
        <v>53.89571091</v>
      </c>
      <c r="F15" s="105">
        <f>360/(-I.S!F4/AVERAGE('Working Capital Schedule'!E14:F14))</f>
        <v>50.76114346</v>
      </c>
      <c r="G15" s="103">
        <f>F15</f>
        <v>50.76114346</v>
      </c>
      <c r="H15" s="103">
        <v>50.76114346006769</v>
      </c>
      <c r="I15" s="103">
        <v>50.76114346006769</v>
      </c>
      <c r="J15" s="103">
        <v>50.76114346006769</v>
      </c>
      <c r="K15" s="103">
        <v>50.76114346006769</v>
      </c>
    </row>
    <row r="16" ht="14.25" customHeight="1">
      <c r="A16" s="99" t="s">
        <v>173</v>
      </c>
      <c r="B16" s="104"/>
      <c r="C16" s="5">
        <f>B.S!B25</f>
        <v>172991</v>
      </c>
      <c r="D16" s="5">
        <f>B.S!C25</f>
        <v>183988</v>
      </c>
      <c r="E16" s="5">
        <f>B.S!D25</f>
        <v>220764</v>
      </c>
      <c r="F16" s="5">
        <f>B.S!E25</f>
        <v>306085</v>
      </c>
      <c r="G16" s="110">
        <f>G17*-I.S!$G$15/360</f>
        <v>259122.6084</v>
      </c>
      <c r="H16" s="110">
        <f>H17*-I.S!$H$15/360</f>
        <v>281148.045</v>
      </c>
      <c r="I16" s="110">
        <f>I17*-I.S!$I$15/360</f>
        <v>305889.073</v>
      </c>
      <c r="J16" s="110">
        <f>J17*-I.S!$J$15/360</f>
        <v>328830.7535</v>
      </c>
      <c r="K16" s="110">
        <f>K17*-I.S!$K$15/360</f>
        <v>352177.737</v>
      </c>
    </row>
    <row r="17" ht="14.25" customHeight="1">
      <c r="A17" s="102" t="s">
        <v>174</v>
      </c>
      <c r="B17" s="104"/>
      <c r="C17" s="105"/>
      <c r="D17" s="105">
        <f>360/(-I.S!$D$15/AVERAGE('Working Capital Schedule'!C16:D16))</f>
        <v>36.262937</v>
      </c>
      <c r="E17" s="105">
        <f>360/(-I.S!$E$15/AVERAGE('Working Capital Schedule'!D16:E16))</f>
        <v>35.74582832</v>
      </c>
      <c r="F17" s="105">
        <f>360/(-I.S!$F$15/AVERAGE('Working Capital Schedule'!E16:F16))</f>
        <v>45.19291841</v>
      </c>
      <c r="G17" s="103">
        <f>AVERAGE(D17:F17)</f>
        <v>39.06722791</v>
      </c>
      <c r="H17" s="103">
        <v>39.06722998576248</v>
      </c>
      <c r="I17" s="103">
        <v>39.06722998576248</v>
      </c>
      <c r="J17" s="103">
        <v>39.06722998576248</v>
      </c>
      <c r="K17" s="103">
        <v>39.06722998576248</v>
      </c>
    </row>
    <row r="18" ht="14.25" customHeight="1">
      <c r="A18" s="99" t="s">
        <v>176</v>
      </c>
      <c r="B18" s="104"/>
      <c r="C18" s="5">
        <f>B.S!B26</f>
        <v>255631</v>
      </c>
      <c r="D18" s="5">
        <f>B.S!C26</f>
        <v>269061</v>
      </c>
      <c r="E18" s="5">
        <f>B.S!D26</f>
        <v>267711</v>
      </c>
      <c r="F18" s="5">
        <f>B.S!E26</f>
        <v>384070</v>
      </c>
      <c r="G18" s="110">
        <f>G19*-I.S!$G$15/360</f>
        <v>346260.7972</v>
      </c>
      <c r="H18" s="110">
        <f>H19*-I.S!$H$15/360</f>
        <v>375692.985</v>
      </c>
      <c r="I18" s="110">
        <f>I19*-I.S!$I$15/360</f>
        <v>408753.9677</v>
      </c>
      <c r="J18" s="110">
        <f>J19*-I.S!$J$15/360</f>
        <v>439410.5152</v>
      </c>
      <c r="K18" s="110">
        <f>K19*-I.S!$K$15/360</f>
        <v>470608.6618</v>
      </c>
    </row>
    <row r="19" ht="14.25" customHeight="1">
      <c r="A19" s="102" t="s">
        <v>179</v>
      </c>
      <c r="B19" s="104"/>
      <c r="C19" s="105"/>
      <c r="D19" s="105">
        <f>360/(-I.S!$D$15/AVERAGE('Working Capital Schedule'!C18:D18))</f>
        <v>53.29969813</v>
      </c>
      <c r="E19" s="105">
        <f>360/(-I.S!$E$15/AVERAGE('Working Capital Schedule'!D18:E18))</f>
        <v>47.40522533</v>
      </c>
      <c r="F19" s="105">
        <f>360/(-I.S!$F$15/AVERAGE('Working Capital Schedule'!E18:F18))</f>
        <v>55.9095406</v>
      </c>
      <c r="G19" s="103">
        <f>AVERAGE(D19:F19)</f>
        <v>52.20482135</v>
      </c>
      <c r="H19" s="103">
        <v>52.20482414219827</v>
      </c>
      <c r="I19" s="103">
        <v>52.20482414219827</v>
      </c>
      <c r="J19" s="103">
        <v>52.20482414219827</v>
      </c>
      <c r="K19" s="103">
        <v>52.20482414219827</v>
      </c>
    </row>
    <row r="20" ht="14.25" customHeight="1">
      <c r="A20" s="99" t="s">
        <v>181</v>
      </c>
      <c r="B20" s="104"/>
      <c r="C20" s="5">
        <f>B.S!B27</f>
        <v>43311</v>
      </c>
      <c r="D20" s="5">
        <f>B.S!C27</f>
        <v>41914</v>
      </c>
      <c r="E20" s="5">
        <f>B.S!D27</f>
        <v>45809</v>
      </c>
      <c r="F20" s="5">
        <f>B.S!E27</f>
        <v>45323</v>
      </c>
      <c r="G20" s="110">
        <f>G21*-I.S!$G$15/360</f>
        <v>53552.61617</v>
      </c>
      <c r="H20" s="110">
        <f>H21*-I.S!$H$15/360</f>
        <v>58104.59166</v>
      </c>
      <c r="I20" s="110">
        <f>I21*-I.S!$I$15/360</f>
        <v>63217.79573</v>
      </c>
      <c r="J20" s="110">
        <f>J21*-I.S!$J$15/360</f>
        <v>67959.13041</v>
      </c>
      <c r="K20" s="110">
        <f>K21*-I.S!$K$15/360</f>
        <v>72784.22866</v>
      </c>
    </row>
    <row r="21" ht="14.25" customHeight="1">
      <c r="A21" s="102" t="s">
        <v>188</v>
      </c>
      <c r="B21" s="104"/>
      <c r="C21" s="105"/>
      <c r="D21" s="105">
        <f>360/(-I.S!$D$15/AVERAGE('Working Capital Schedule'!C20:D20))</f>
        <v>8.657396669</v>
      </c>
      <c r="E21" s="105">
        <f>360/(-I.S!$E$15/AVERAGE('Working Capital Schedule'!D20:E20))</f>
        <v>7.747290435</v>
      </c>
      <c r="F21" s="105">
        <f>360/(-I.S!$F$15/AVERAGE('Working Capital Schedule'!E20:F20))</f>
        <v>7.817270301</v>
      </c>
      <c r="G21" s="103">
        <f>AVERAGE(D21:F21)</f>
        <v>8.073985802</v>
      </c>
      <c r="H21" s="103">
        <v>8.073986235368183</v>
      </c>
      <c r="I21" s="103">
        <v>8.073986235368183</v>
      </c>
      <c r="J21" s="103">
        <v>8.073986235368183</v>
      </c>
      <c r="K21" s="103">
        <v>8.073986235368183</v>
      </c>
    </row>
    <row r="22" ht="14.25" customHeight="1">
      <c r="A22" s="99" t="s">
        <v>192</v>
      </c>
      <c r="B22" s="104"/>
      <c r="C22" s="5">
        <f>B.S!B28</f>
        <v>72463</v>
      </c>
      <c r="D22" s="5">
        <f>B.S!C28</f>
        <v>87392</v>
      </c>
      <c r="E22" s="5">
        <f>B.S!D28</f>
        <v>92454</v>
      </c>
      <c r="F22" s="5">
        <f>B.S!E28</f>
        <v>114023</v>
      </c>
      <c r="G22" s="110" t="str">
        <f>G23*-I.S!G29/360</f>
        <v>#REF!</v>
      </c>
      <c r="H22" s="110" t="str">
        <f>H23*-I.S!H29/360</f>
        <v>#REF!</v>
      </c>
      <c r="I22" s="110" t="str">
        <f>I23*-I.S!I29/360</f>
        <v>#REF!</v>
      </c>
      <c r="J22" s="110" t="str">
        <f>J23*-I.S!J29/360</f>
        <v>#REF!</v>
      </c>
      <c r="K22" s="110" t="str">
        <f>K23*-I.S!K29/360</f>
        <v>#REF!</v>
      </c>
    </row>
    <row r="23" ht="14.25" customHeight="1">
      <c r="A23" s="102" t="s">
        <v>197</v>
      </c>
      <c r="B23" s="104"/>
      <c r="C23" s="105"/>
      <c r="D23" s="105">
        <f>360/(-I.S!D29/AVERAGE('Working Capital Schedule'!C22:D22))</f>
        <v>65.76981627</v>
      </c>
      <c r="E23" s="105">
        <f>360/(-I.S!E29/AVERAGE('Working Capital Schedule'!D22:E22))</f>
        <v>67.38455198</v>
      </c>
      <c r="F23" s="105">
        <f>360/(-I.S!F29/AVERAGE('Working Capital Schedule'!E22:F22))</f>
        <v>64.40140912</v>
      </c>
      <c r="G23" s="103">
        <f>AVERAGE(D23:F23)</f>
        <v>65.85192579</v>
      </c>
      <c r="H23" s="103">
        <v>65.85192579033293</v>
      </c>
      <c r="I23" s="103">
        <v>65.85192579033293</v>
      </c>
      <c r="J23" s="103">
        <v>65.85192579033293</v>
      </c>
      <c r="K23" s="103">
        <v>65.85192579033293</v>
      </c>
    </row>
    <row r="24" ht="14.25" customHeight="1">
      <c r="A24" s="99" t="s">
        <v>199</v>
      </c>
      <c r="B24" s="104"/>
      <c r="C24" s="5">
        <f>B.S!B29</f>
        <v>13317</v>
      </c>
      <c r="D24" s="5">
        <f>B.S!C29</f>
        <v>14955</v>
      </c>
      <c r="E24" s="5">
        <f>B.S!D29</f>
        <v>4006</v>
      </c>
      <c r="F24" s="5">
        <f>B.S!E29</f>
        <v>32305</v>
      </c>
      <c r="G24" s="110">
        <f>G25*I.S!G2/360</f>
        <v>16781.6769</v>
      </c>
      <c r="H24" s="110">
        <f>H25*I.S!H2/360</f>
        <v>18208.11944</v>
      </c>
      <c r="I24" s="110">
        <f>I25*I.S!I2/360</f>
        <v>19810.43395</v>
      </c>
      <c r="J24" s="110">
        <f>J25*I.S!J2/360</f>
        <v>21296.21649</v>
      </c>
      <c r="K24" s="110">
        <f>K25*I.S!K2/360</f>
        <v>22808.24786</v>
      </c>
    </row>
    <row r="25" ht="14.25" customHeight="1">
      <c r="A25" s="102" t="s">
        <v>203</v>
      </c>
      <c r="B25" s="104"/>
      <c r="C25" s="105"/>
      <c r="D25" s="105">
        <f>360/(I.S!D2/AVERAGE('Working Capital Schedule'!C24:D24))</f>
        <v>0.7127368006</v>
      </c>
      <c r="E25" s="105">
        <f>360/(I.S!E2/AVERAGE('Working Capital Schedule'!D24:E24))</f>
        <v>0.4555068134</v>
      </c>
      <c r="F25" s="105">
        <f>360/(I.S!F2/AVERAGE('Working Capital Schedule'!E24:F24))</f>
        <v>0.7880045472</v>
      </c>
      <c r="G25" s="103">
        <f>AVERAGE(D25:F25)</f>
        <v>0.6520827204</v>
      </c>
      <c r="H25" s="103">
        <v>0.6520827203758497</v>
      </c>
      <c r="I25" s="103">
        <v>0.6520827203758497</v>
      </c>
      <c r="J25" s="103">
        <v>0.6520827203758497</v>
      </c>
      <c r="K25" s="103">
        <v>0.6520827203758497</v>
      </c>
    </row>
    <row r="26" ht="14.25" customHeight="1">
      <c r="A26" s="99" t="s">
        <v>74</v>
      </c>
      <c r="B26" s="111"/>
      <c r="C26" s="20">
        <f t="shared" ref="C26:K26" si="3">C24+C22+C20+C18+C16+C14</f>
        <v>1001978</v>
      </c>
      <c r="D26" s="20">
        <f t="shared" si="3"/>
        <v>1161689</v>
      </c>
      <c r="E26" s="20">
        <f t="shared" si="3"/>
        <v>1097519</v>
      </c>
      <c r="F26" s="20">
        <f t="shared" si="3"/>
        <v>1447780</v>
      </c>
      <c r="G26" s="20" t="str">
        <f t="shared" si="3"/>
        <v>#REF!</v>
      </c>
      <c r="H26" s="20" t="str">
        <f t="shared" si="3"/>
        <v>#REF!</v>
      </c>
      <c r="I26" s="20" t="str">
        <f t="shared" si="3"/>
        <v>#REF!</v>
      </c>
      <c r="J26" s="20" t="str">
        <f t="shared" si="3"/>
        <v>#REF!</v>
      </c>
      <c r="K26" s="20" t="str">
        <f t="shared" si="3"/>
        <v>#REF!</v>
      </c>
    </row>
    <row r="27" ht="14.25" customHeight="1">
      <c r="B27" s="104"/>
      <c r="C27" s="105"/>
      <c r="D27" s="105"/>
      <c r="E27" s="105"/>
      <c r="F27" s="105"/>
      <c r="G27" s="105"/>
    </row>
    <row r="28" ht="14.25" customHeight="1">
      <c r="A28" s="22" t="s">
        <v>208</v>
      </c>
      <c r="B28" s="130"/>
      <c r="C28" s="131">
        <f t="shared" ref="C28:K28" si="4">C12-C26</f>
        <v>1093464</v>
      </c>
      <c r="D28" s="131">
        <f t="shared" si="4"/>
        <v>1174027</v>
      </c>
      <c r="E28" s="131">
        <f t="shared" si="4"/>
        <v>1010698</v>
      </c>
      <c r="F28" s="131">
        <f t="shared" si="4"/>
        <v>1148103</v>
      </c>
      <c r="G28" s="131" t="str">
        <f t="shared" si="4"/>
        <v>#REF!</v>
      </c>
      <c r="H28" s="131" t="str">
        <f t="shared" si="4"/>
        <v>#REF!</v>
      </c>
      <c r="I28" s="131" t="str">
        <f t="shared" si="4"/>
        <v>#REF!</v>
      </c>
      <c r="J28" s="131" t="str">
        <f t="shared" si="4"/>
        <v>#REF!</v>
      </c>
      <c r="K28" s="132" t="str">
        <f t="shared" si="4"/>
        <v>#REF!</v>
      </c>
    </row>
    <row r="29" ht="14.25" customHeight="1">
      <c r="A29" s="22" t="s">
        <v>211</v>
      </c>
      <c r="B29" s="53"/>
      <c r="C29" s="53"/>
      <c r="D29" s="53"/>
      <c r="E29" s="53"/>
      <c r="F29" s="53"/>
      <c r="G29" s="53" t="str">
        <f t="shared" ref="G29:K29" si="5">(G28-F28)*-1</f>
        <v>#REF!</v>
      </c>
      <c r="H29" s="53" t="str">
        <f t="shared" si="5"/>
        <v>#REF!</v>
      </c>
      <c r="I29" s="53" t="str">
        <f t="shared" si="5"/>
        <v>#REF!</v>
      </c>
      <c r="J29" s="53" t="str">
        <f t="shared" si="5"/>
        <v>#REF!</v>
      </c>
      <c r="K29" s="53" t="str">
        <f t="shared" si="5"/>
        <v>#REF!</v>
      </c>
    </row>
    <row r="30" ht="14.25" customHeight="1">
      <c r="A30" s="12"/>
      <c r="B30" s="19"/>
      <c r="C30" s="19"/>
      <c r="D30" s="19"/>
      <c r="E30" s="19"/>
      <c r="F30" s="19"/>
      <c r="G30" s="19"/>
    </row>
    <row r="31" ht="14.25" customHeight="1">
      <c r="A31" s="98" t="s">
        <v>213</v>
      </c>
      <c r="B31" s="134"/>
      <c r="C31" s="135"/>
      <c r="D31" s="135"/>
      <c r="E31" s="135"/>
      <c r="F31" s="135"/>
      <c r="G31" s="135"/>
      <c r="H31" s="98"/>
      <c r="I31" s="99"/>
    </row>
    <row r="32" ht="14.25" customHeight="1">
      <c r="I32" s="24"/>
      <c r="J32" s="24"/>
      <c r="K32" s="24"/>
    </row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5B5"/>
    <pageSetUpPr/>
  </sheetPr>
  <sheetViews>
    <sheetView workbookViewId="0"/>
  </sheetViews>
  <sheetFormatPr customHeight="1" defaultColWidth="14.43" defaultRowHeight="15.0" outlineLevelRow="1"/>
  <cols>
    <col customWidth="1" min="1" max="1" width="32.43"/>
    <col customWidth="1" min="2" max="3" width="8.71"/>
    <col customWidth="1" min="4" max="13" width="15.71"/>
    <col customWidth="1" min="14" max="26" width="8.71"/>
  </cols>
  <sheetData>
    <row r="1" ht="14.25" customHeight="1">
      <c r="A1" s="95" t="s">
        <v>150</v>
      </c>
    </row>
    <row r="2" ht="14.25" customHeight="1">
      <c r="A2" s="2"/>
      <c r="B2" s="2"/>
      <c r="C2" s="2"/>
      <c r="D2" s="2" t="s">
        <v>151</v>
      </c>
      <c r="E2" s="2"/>
      <c r="F2" s="2"/>
      <c r="G2" s="2" t="s">
        <v>153</v>
      </c>
      <c r="H2" s="2"/>
      <c r="I2" s="2"/>
      <c r="J2" s="2"/>
      <c r="K2" s="2"/>
      <c r="L2" s="2"/>
      <c r="M2" s="2"/>
    </row>
    <row r="3" ht="14.25" customHeight="1">
      <c r="A3" s="2" t="s">
        <v>154</v>
      </c>
      <c r="B3" s="2"/>
      <c r="C3" s="2"/>
      <c r="D3" s="2">
        <v>2021.0</v>
      </c>
      <c r="E3" s="2">
        <v>2022.0</v>
      </c>
      <c r="F3" s="2">
        <v>2023.0</v>
      </c>
      <c r="G3" s="2">
        <f t="shared" ref="G3:M3" si="1">F3+1</f>
        <v>2024</v>
      </c>
      <c r="H3" s="2">
        <f t="shared" si="1"/>
        <v>2025</v>
      </c>
      <c r="I3" s="3">
        <f t="shared" si="1"/>
        <v>2026</v>
      </c>
      <c r="J3" s="3">
        <f t="shared" si="1"/>
        <v>2027</v>
      </c>
      <c r="K3" s="3">
        <f t="shared" si="1"/>
        <v>2028</v>
      </c>
      <c r="L3" s="3">
        <f t="shared" si="1"/>
        <v>2029</v>
      </c>
      <c r="M3" s="3">
        <f t="shared" si="1"/>
        <v>2030</v>
      </c>
    </row>
    <row r="4" ht="14.25" customHeight="1">
      <c r="A4" s="4" t="s">
        <v>156</v>
      </c>
      <c r="I4" s="19">
        <f>B.S!E13</f>
        <v>1081544</v>
      </c>
      <c r="J4" s="19"/>
      <c r="K4" s="19"/>
      <c r="L4" s="19"/>
      <c r="M4" s="19"/>
    </row>
    <row r="5" ht="14.25" customHeight="1">
      <c r="A5" s="4" t="s">
        <v>38</v>
      </c>
      <c r="I5" s="19">
        <f>(C.S!G34)*-1</f>
        <v>147751.175</v>
      </c>
      <c r="J5" s="19">
        <f>(C.S!H34)*-1</f>
        <v>160310.0249</v>
      </c>
      <c r="K5" s="19">
        <f>(C.S!I34)*-1</f>
        <v>174417.3071</v>
      </c>
      <c r="L5" s="19">
        <f>(C.S!J34)*-1</f>
        <v>187498.6051</v>
      </c>
      <c r="M5" s="19">
        <f>(C.S!K34)*-1</f>
        <v>200811.0061</v>
      </c>
    </row>
    <row r="6" ht="14.25" customHeight="1">
      <c r="A6" s="107" t="s">
        <v>11</v>
      </c>
      <c r="I6" s="19"/>
      <c r="J6" s="108">
        <f t="shared" ref="J6:M6" si="2">J5/I5-1</f>
        <v>0.085</v>
      </c>
      <c r="K6" s="108">
        <f t="shared" si="2"/>
        <v>0.088</v>
      </c>
      <c r="L6" s="108">
        <f t="shared" si="2"/>
        <v>0.075</v>
      </c>
      <c r="M6" s="108">
        <f t="shared" si="2"/>
        <v>0.071</v>
      </c>
    </row>
    <row r="7" ht="14.25" customHeight="1"/>
    <row r="8" ht="14.25" customHeight="1">
      <c r="A8" s="4" t="s">
        <v>158</v>
      </c>
    </row>
    <row r="9" ht="14.25" customHeight="1">
      <c r="A9" s="4" t="s">
        <v>159</v>
      </c>
    </row>
    <row r="10" ht="14.25" customHeight="1">
      <c r="A10" s="109" t="s">
        <v>160</v>
      </c>
      <c r="I10" s="1">
        <v>9.5</v>
      </c>
    </row>
    <row r="11" ht="14.25" customHeight="1">
      <c r="A11" s="109" t="s">
        <v>161</v>
      </c>
      <c r="I11" s="1">
        <v>14.0</v>
      </c>
      <c r="J11" s="1">
        <v>14.0</v>
      </c>
      <c r="K11" s="1">
        <v>14.0</v>
      </c>
      <c r="L11" s="1">
        <v>14.0</v>
      </c>
      <c r="M11" s="1">
        <v>14.0</v>
      </c>
    </row>
    <row r="12" ht="14.25" customHeight="1">
      <c r="A12" s="25" t="s">
        <v>95</v>
      </c>
    </row>
    <row r="13" ht="14.25" customHeight="1">
      <c r="A13" s="1" t="s">
        <v>162</v>
      </c>
      <c r="I13" s="19">
        <f t="shared" ref="I13:M13" si="3">$I$4/$I$10</f>
        <v>113846.7368</v>
      </c>
      <c r="J13" s="19">
        <f t="shared" si="3"/>
        <v>113846.7368</v>
      </c>
      <c r="K13" s="19">
        <f t="shared" si="3"/>
        <v>113846.7368</v>
      </c>
      <c r="L13" s="19">
        <f t="shared" si="3"/>
        <v>113846.7368</v>
      </c>
      <c r="M13" s="19">
        <f t="shared" si="3"/>
        <v>113846.7368</v>
      </c>
      <c r="O13" s="19"/>
    </row>
    <row r="14" ht="14.25" customHeight="1">
      <c r="A14" s="1" t="s">
        <v>164</v>
      </c>
      <c r="I14" s="19">
        <f t="shared" ref="I14:M14" si="4">$I$5/$I$11</f>
        <v>10553.65536</v>
      </c>
      <c r="J14" s="19">
        <f t="shared" si="4"/>
        <v>10553.65536</v>
      </c>
      <c r="K14" s="19">
        <f t="shared" si="4"/>
        <v>10553.65536</v>
      </c>
      <c r="L14" s="19">
        <f t="shared" si="4"/>
        <v>10553.65536</v>
      </c>
      <c r="M14" s="19">
        <f t="shared" si="4"/>
        <v>10553.65536</v>
      </c>
    </row>
    <row r="15" ht="14.25" customHeight="1">
      <c r="A15" s="1" t="s">
        <v>165</v>
      </c>
      <c r="J15" s="19">
        <f t="shared" ref="J15:M15" si="5">$J$5/$J$11</f>
        <v>11450.71606</v>
      </c>
      <c r="K15" s="19">
        <f t="shared" si="5"/>
        <v>11450.71606</v>
      </c>
      <c r="L15" s="19">
        <f t="shared" si="5"/>
        <v>11450.71606</v>
      </c>
      <c r="M15" s="19">
        <f t="shared" si="5"/>
        <v>11450.71606</v>
      </c>
    </row>
    <row r="16" ht="14.25" customHeight="1">
      <c r="A16" s="1" t="s">
        <v>167</v>
      </c>
      <c r="J16" s="19"/>
      <c r="K16" s="19">
        <f t="shared" ref="K16:M16" si="6">$K$5/$K$11</f>
        <v>12458.37908</v>
      </c>
      <c r="L16" s="19">
        <f t="shared" si="6"/>
        <v>12458.37908</v>
      </c>
      <c r="M16" s="19">
        <f t="shared" si="6"/>
        <v>12458.37908</v>
      </c>
    </row>
    <row r="17" ht="14.25" customHeight="1">
      <c r="A17" s="1" t="s">
        <v>169</v>
      </c>
      <c r="J17" s="19"/>
      <c r="K17" s="19"/>
      <c r="L17" s="19">
        <f t="shared" ref="L17:M17" si="7">$L$5/$L$11</f>
        <v>13392.75751</v>
      </c>
      <c r="M17" s="19">
        <f t="shared" si="7"/>
        <v>13392.75751</v>
      </c>
    </row>
    <row r="18" ht="14.25" customHeight="1">
      <c r="A18" s="1" t="s">
        <v>170</v>
      </c>
      <c r="J18" s="19"/>
      <c r="K18" s="19"/>
      <c r="L18" s="19"/>
      <c r="M18" s="19">
        <f>$M$5/$M$11</f>
        <v>14343.64329</v>
      </c>
    </row>
    <row r="19" ht="14.25" customHeight="1">
      <c r="A19" s="1" t="s">
        <v>171</v>
      </c>
      <c r="D19" s="19">
        <f>C.S!B4</f>
        <v>50155</v>
      </c>
      <c r="E19" s="19">
        <f>C.S!C4</f>
        <v>61241</v>
      </c>
      <c r="F19" s="19">
        <f>C.S!D4</f>
        <v>68898</v>
      </c>
      <c r="G19" s="19">
        <f>C.S!E4</f>
        <v>80434</v>
      </c>
      <c r="H19" s="19">
        <f>C.S!F4</f>
        <v>114441</v>
      </c>
      <c r="I19" s="113">
        <f t="shared" ref="I19:M19" si="8">SUM(I13:I18)</f>
        <v>124400.3922</v>
      </c>
      <c r="J19" s="113">
        <f t="shared" si="8"/>
        <v>135851.1083</v>
      </c>
      <c r="K19" s="113">
        <f t="shared" si="8"/>
        <v>148309.4873</v>
      </c>
      <c r="L19" s="113">
        <f t="shared" si="8"/>
        <v>161702.2448</v>
      </c>
      <c r="M19" s="113">
        <f t="shared" si="8"/>
        <v>176045.8881</v>
      </c>
    </row>
    <row r="20" ht="14.25" customHeight="1">
      <c r="E20" s="108">
        <f t="shared" ref="E20:M20" si="9">E19/D19-1</f>
        <v>0.2210347921</v>
      </c>
      <c r="F20" s="108">
        <f t="shared" si="9"/>
        <v>0.1250306167</v>
      </c>
      <c r="G20" s="108">
        <f t="shared" si="9"/>
        <v>0.1674359198</v>
      </c>
      <c r="H20" s="108">
        <f t="shared" si="9"/>
        <v>0.4227938434</v>
      </c>
      <c r="I20" s="108">
        <f t="shared" si="9"/>
        <v>0.08702643458</v>
      </c>
      <c r="J20" s="108">
        <f t="shared" si="9"/>
        <v>0.09204726657</v>
      </c>
      <c r="K20" s="108">
        <f t="shared" si="9"/>
        <v>0.09170612765</v>
      </c>
      <c r="L20" s="108">
        <f t="shared" si="9"/>
        <v>0.09030276988</v>
      </c>
      <c r="M20" s="108">
        <f t="shared" si="9"/>
        <v>0.08870404553</v>
      </c>
    </row>
    <row r="21" ht="14.25" customHeight="1">
      <c r="F21" s="11"/>
      <c r="G21" s="11"/>
      <c r="H21" s="11"/>
      <c r="I21" s="11"/>
      <c r="J21" s="11"/>
      <c r="K21" s="11"/>
    </row>
    <row r="22" ht="14.25" customHeight="1">
      <c r="A22" s="4" t="s">
        <v>175</v>
      </c>
    </row>
    <row r="23" ht="14.25" customHeight="1">
      <c r="A23" s="1" t="s">
        <v>162</v>
      </c>
      <c r="I23" s="27">
        <v>0.1382</v>
      </c>
      <c r="J23" s="27">
        <v>0.1361</v>
      </c>
      <c r="K23" s="27">
        <v>0.1146</v>
      </c>
      <c r="L23" s="27">
        <v>0.0965</v>
      </c>
      <c r="M23" s="27">
        <v>0.0915</v>
      </c>
    </row>
    <row r="24" ht="14.25" customHeight="1">
      <c r="A24" s="1" t="s">
        <v>164</v>
      </c>
      <c r="I24" s="27">
        <v>0.0938</v>
      </c>
      <c r="J24" s="27">
        <v>0.0971</v>
      </c>
      <c r="K24" s="27">
        <v>0.0867</v>
      </c>
      <c r="L24" s="27">
        <v>0.0774</v>
      </c>
      <c r="M24" s="27">
        <v>0.0691</v>
      </c>
    </row>
    <row r="25" ht="14.25" customHeight="1">
      <c r="A25" s="1" t="s">
        <v>165</v>
      </c>
      <c r="J25" s="27">
        <v>0.0938</v>
      </c>
      <c r="K25" s="27">
        <v>0.0971</v>
      </c>
      <c r="L25" s="27">
        <v>0.0867</v>
      </c>
      <c r="M25" s="27">
        <v>0.0774</v>
      </c>
      <c r="N25" s="27"/>
    </row>
    <row r="26" ht="14.25" customHeight="1">
      <c r="A26" s="1" t="s">
        <v>167</v>
      </c>
      <c r="K26" s="27">
        <v>0.0938</v>
      </c>
      <c r="L26" s="27">
        <v>0.0971</v>
      </c>
      <c r="M26" s="27">
        <v>0.0867</v>
      </c>
      <c r="N26" s="27"/>
      <c r="O26" s="27"/>
    </row>
    <row r="27" ht="14.25" customHeight="1">
      <c r="A27" s="1" t="s">
        <v>169</v>
      </c>
      <c r="L27" s="27">
        <v>0.0938</v>
      </c>
      <c r="M27" s="27">
        <v>0.0971</v>
      </c>
      <c r="N27" s="27"/>
      <c r="O27" s="27"/>
      <c r="P27" s="27"/>
    </row>
    <row r="28" ht="14.25" customHeight="1">
      <c r="A28" s="1" t="s">
        <v>170</v>
      </c>
      <c r="M28" s="27">
        <v>0.0938</v>
      </c>
      <c r="N28" s="27"/>
      <c r="O28" s="27"/>
      <c r="P28" s="27"/>
      <c r="Q28" s="27"/>
    </row>
    <row r="29" ht="14.25" customHeight="1"/>
    <row r="30" ht="14.25" customHeight="1">
      <c r="A30" s="4" t="s">
        <v>175</v>
      </c>
    </row>
    <row r="31" ht="14.25" customHeight="1">
      <c r="A31" s="1" t="s">
        <v>162</v>
      </c>
      <c r="I31" s="17">
        <f t="shared" ref="I31:M31" si="10">$I$4*I23</f>
        <v>149469.3808</v>
      </c>
      <c r="J31" s="17">
        <f t="shared" si="10"/>
        <v>147198.1384</v>
      </c>
      <c r="K31" s="17">
        <f t="shared" si="10"/>
        <v>123944.9424</v>
      </c>
      <c r="L31" s="17">
        <f t="shared" si="10"/>
        <v>104368.996</v>
      </c>
      <c r="M31" s="17">
        <f t="shared" si="10"/>
        <v>98961.276</v>
      </c>
    </row>
    <row r="32" ht="14.25" customHeight="1">
      <c r="A32" s="1" t="s">
        <v>164</v>
      </c>
      <c r="I32" s="17">
        <f t="shared" ref="I32:M32" si="11">$I$5*I24</f>
        <v>13859.06022</v>
      </c>
      <c r="J32" s="17">
        <f t="shared" si="11"/>
        <v>14346.63909</v>
      </c>
      <c r="K32" s="17">
        <f t="shared" si="11"/>
        <v>12810.02687</v>
      </c>
      <c r="L32" s="17">
        <f t="shared" si="11"/>
        <v>11435.94095</v>
      </c>
      <c r="M32" s="17">
        <f t="shared" si="11"/>
        <v>10209.60619</v>
      </c>
    </row>
    <row r="33" ht="14.25" customHeight="1">
      <c r="A33" s="1" t="s">
        <v>165</v>
      </c>
      <c r="I33" s="17"/>
      <c r="J33" s="17">
        <f t="shared" ref="J33:M33" si="12">$J$5*J25</f>
        <v>15037.08033</v>
      </c>
      <c r="K33" s="17">
        <f t="shared" si="12"/>
        <v>15566.10342</v>
      </c>
      <c r="L33" s="17">
        <f t="shared" si="12"/>
        <v>13898.87916</v>
      </c>
      <c r="M33" s="17">
        <f t="shared" si="12"/>
        <v>12407.99593</v>
      </c>
    </row>
    <row r="34" ht="14.25" customHeight="1">
      <c r="A34" s="1" t="s">
        <v>167</v>
      </c>
      <c r="I34" s="17"/>
      <c r="J34" s="17"/>
      <c r="K34" s="17">
        <f t="shared" ref="K34:M34" si="13">$K$5*K26</f>
        <v>16360.3434</v>
      </c>
      <c r="L34" s="17">
        <f t="shared" si="13"/>
        <v>16935.92052</v>
      </c>
      <c r="M34" s="17">
        <f t="shared" si="13"/>
        <v>15121.98052</v>
      </c>
    </row>
    <row r="35" ht="14.25" customHeight="1">
      <c r="A35" s="1" t="s">
        <v>169</v>
      </c>
      <c r="I35" s="17"/>
      <c r="J35" s="17"/>
      <c r="K35" s="17"/>
      <c r="L35" s="17">
        <f t="shared" ref="L35:M35" si="14">$L$5*L27</f>
        <v>17587.36916</v>
      </c>
      <c r="M35" s="17">
        <f t="shared" si="14"/>
        <v>18206.11455</v>
      </c>
    </row>
    <row r="36" ht="14.25" customHeight="1">
      <c r="A36" s="1" t="s">
        <v>170</v>
      </c>
      <c r="I36" s="17"/>
      <c r="J36" s="17"/>
      <c r="K36" s="17"/>
      <c r="L36" s="17"/>
      <c r="M36" s="17">
        <f>$M$5*M28</f>
        <v>18836.07237</v>
      </c>
    </row>
    <row r="37" ht="14.25" customHeight="1">
      <c r="A37" s="1" t="s">
        <v>183</v>
      </c>
      <c r="I37" s="119">
        <f t="shared" ref="I37:M37" si="15">SUM(I31:I36)</f>
        <v>163328.441</v>
      </c>
      <c r="J37" s="119">
        <f t="shared" si="15"/>
        <v>176581.8578</v>
      </c>
      <c r="K37" s="119">
        <f t="shared" si="15"/>
        <v>168681.4161</v>
      </c>
      <c r="L37" s="119">
        <f t="shared" si="15"/>
        <v>164227.1058</v>
      </c>
      <c r="M37" s="119">
        <f t="shared" si="15"/>
        <v>173743.0456</v>
      </c>
    </row>
    <row r="38" ht="14.25" customHeight="1">
      <c r="A38" s="1" t="s">
        <v>185</v>
      </c>
      <c r="I38" s="17">
        <f t="shared" ref="I38:M38" si="16">I37-I19</f>
        <v>38928.04882</v>
      </c>
      <c r="J38" s="17">
        <f t="shared" si="16"/>
        <v>40730.74956</v>
      </c>
      <c r="K38" s="17">
        <f t="shared" si="16"/>
        <v>20371.92875</v>
      </c>
      <c r="L38" s="17">
        <f t="shared" si="16"/>
        <v>2524.860931</v>
      </c>
      <c r="M38" s="17">
        <f t="shared" si="16"/>
        <v>-2302.842571</v>
      </c>
    </row>
    <row r="39" ht="14.25" customHeight="1">
      <c r="A39" s="120" t="s">
        <v>187</v>
      </c>
      <c r="I39" s="11">
        <f>I.S!G30</f>
        <v>0.21</v>
      </c>
      <c r="J39" s="11">
        <f>I.S!H30</f>
        <v>0.21</v>
      </c>
      <c r="K39" s="11">
        <f>I.S!I30</f>
        <v>0.21</v>
      </c>
      <c r="L39" s="11">
        <f>I.S!J30</f>
        <v>0.21</v>
      </c>
      <c r="M39" s="11">
        <f>I.S!K30</f>
        <v>0.21</v>
      </c>
    </row>
    <row r="40" ht="14.25" customHeight="1">
      <c r="A40" s="4" t="s">
        <v>190</v>
      </c>
      <c r="I40" s="122">
        <f t="shared" ref="I40:M40" si="17">I38*I39</f>
        <v>8174.890251</v>
      </c>
      <c r="J40" s="68">
        <f t="shared" si="17"/>
        <v>8553.457408</v>
      </c>
      <c r="K40" s="68">
        <f t="shared" si="17"/>
        <v>4278.105038</v>
      </c>
      <c r="L40" s="68">
        <f t="shared" si="17"/>
        <v>530.2207955</v>
      </c>
      <c r="M40" s="123">
        <f t="shared" si="17"/>
        <v>-483.59694</v>
      </c>
    </row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5B5"/>
    <pageSetUpPr/>
  </sheetPr>
  <sheetViews>
    <sheetView workbookViewId="0">
      <pane xSplit="1.0" ySplit="3.0" topLeftCell="B4" activePane="bottomRight" state="frozen"/>
      <selection activeCell="B1" sqref="B1" pane="topRight"/>
      <selection activeCell="A4" sqref="A4" pane="bottomLeft"/>
      <selection activeCell="B4" sqref="B4" pane="bottomRight"/>
    </sheetView>
  </sheetViews>
  <sheetFormatPr customHeight="1" defaultColWidth="14.43" defaultRowHeight="15.0" outlineLevelRow="1"/>
  <cols>
    <col customWidth="1" min="1" max="1" width="67.43"/>
    <col customWidth="1" min="2" max="3" width="8.71"/>
    <col customWidth="1" min="4" max="5" width="11.29"/>
    <col customWidth="1" min="6" max="6" width="12.29"/>
    <col customWidth="1" min="7" max="11" width="15.71"/>
    <col customWidth="1" min="12" max="26" width="8.71"/>
  </cols>
  <sheetData>
    <row r="1" ht="14.25" customHeight="1">
      <c r="A1" s="95" t="s">
        <v>177</v>
      </c>
    </row>
    <row r="2" ht="14.25" customHeight="1">
      <c r="A2" s="114"/>
      <c r="B2" s="115" t="s">
        <v>178</v>
      </c>
      <c r="C2" s="116"/>
      <c r="D2" s="117"/>
      <c r="E2" s="115" t="s">
        <v>153</v>
      </c>
      <c r="F2" s="116"/>
      <c r="G2" s="116"/>
      <c r="H2" s="116"/>
      <c r="I2" s="117"/>
      <c r="J2" s="115"/>
      <c r="K2" s="117"/>
    </row>
    <row r="3" ht="14.25" customHeight="1">
      <c r="A3" s="2" t="s">
        <v>180</v>
      </c>
      <c r="B3" s="2">
        <v>2021.0</v>
      </c>
      <c r="C3" s="2">
        <v>2022.0</v>
      </c>
      <c r="D3" s="2">
        <v>2023.0</v>
      </c>
      <c r="E3" s="2">
        <f t="shared" ref="E3:K3" si="1">D3+1</f>
        <v>2024</v>
      </c>
      <c r="F3" s="2">
        <f t="shared" si="1"/>
        <v>2025</v>
      </c>
      <c r="G3" s="3">
        <f t="shared" si="1"/>
        <v>2026</v>
      </c>
      <c r="H3" s="3">
        <f t="shared" si="1"/>
        <v>2027</v>
      </c>
      <c r="I3" s="3">
        <f t="shared" si="1"/>
        <v>2028</v>
      </c>
      <c r="J3" s="3">
        <f t="shared" si="1"/>
        <v>2029</v>
      </c>
      <c r="K3" s="3">
        <f t="shared" si="1"/>
        <v>2030</v>
      </c>
    </row>
    <row r="4" ht="14.25" customHeight="1"/>
    <row r="5" ht="14.25" customHeight="1">
      <c r="A5" s="4" t="s">
        <v>182</v>
      </c>
    </row>
    <row r="6" ht="14.25" customHeight="1">
      <c r="A6" s="118" t="s">
        <v>184</v>
      </c>
      <c r="E6" s="19"/>
      <c r="F6" s="19"/>
      <c r="G6" s="19">
        <f t="shared" ref="G6:K6" si="2">F29</f>
        <v>2088117</v>
      </c>
      <c r="H6" s="19" t="str">
        <f t="shared" si="2"/>
        <v>#REF!</v>
      </c>
      <c r="I6" s="19" t="str">
        <f t="shared" si="2"/>
        <v>#REF!</v>
      </c>
      <c r="J6" s="19" t="str">
        <f t="shared" si="2"/>
        <v>#REF!</v>
      </c>
      <c r="K6" s="19" t="str">
        <f t="shared" si="2"/>
        <v>#REF!</v>
      </c>
    </row>
    <row r="7" ht="14.25" customHeight="1">
      <c r="A7" s="118" t="s">
        <v>186</v>
      </c>
      <c r="E7" s="19"/>
      <c r="F7" s="19"/>
      <c r="G7" s="19" t="str">
        <f>C.S!G60</f>
        <v>#REF!</v>
      </c>
      <c r="H7" s="19" t="str">
        <f>C.S!H60</f>
        <v>#REF!</v>
      </c>
      <c r="I7" s="19" t="str">
        <f>C.S!I60</f>
        <v>#REF!</v>
      </c>
      <c r="J7" s="19" t="str">
        <f>C.S!J60</f>
        <v>#REF!</v>
      </c>
      <c r="K7" s="19" t="str">
        <f>C.S!K60</f>
        <v>#REF!</v>
      </c>
    </row>
    <row r="8" ht="14.25" customHeight="1">
      <c r="A8" s="118" t="s">
        <v>189</v>
      </c>
      <c r="E8" s="5"/>
      <c r="F8" s="5"/>
      <c r="G8" s="19">
        <v>-1000000.0</v>
      </c>
      <c r="H8" s="19">
        <v>-1000000.0</v>
      </c>
      <c r="I8" s="19">
        <v>-1000000.0</v>
      </c>
      <c r="J8" s="19">
        <v>-1000000.0</v>
      </c>
      <c r="K8" s="19">
        <v>-1000000.0</v>
      </c>
    </row>
    <row r="9" ht="14.25" customHeight="1">
      <c r="A9" s="121" t="s">
        <v>191</v>
      </c>
      <c r="B9" s="24"/>
      <c r="C9" s="24"/>
      <c r="D9" s="24"/>
      <c r="E9" s="20"/>
      <c r="F9" s="20"/>
      <c r="G9" s="20" t="str">
        <f t="shared" ref="G9:K9" si="3">SUM(G6:G8)</f>
        <v>#REF!</v>
      </c>
      <c r="H9" s="20" t="str">
        <f t="shared" si="3"/>
        <v>#REF!</v>
      </c>
      <c r="I9" s="20" t="str">
        <f t="shared" si="3"/>
        <v>#REF!</v>
      </c>
      <c r="J9" s="20" t="str">
        <f t="shared" si="3"/>
        <v>#REF!</v>
      </c>
      <c r="K9" s="20" t="str">
        <f t="shared" si="3"/>
        <v>#REF!</v>
      </c>
    </row>
    <row r="10" ht="14.25" customHeight="1"/>
    <row r="11" ht="14.25" customHeight="1">
      <c r="A11" s="121" t="s">
        <v>126</v>
      </c>
    </row>
    <row r="12" ht="14.25" customHeight="1">
      <c r="A12" s="118" t="s">
        <v>193</v>
      </c>
      <c r="E12" s="124"/>
      <c r="F12" s="124"/>
      <c r="G12" s="124">
        <f t="shared" ref="G12:K12" si="4">F15</f>
        <v>0</v>
      </c>
      <c r="H12" s="124">
        <f t="shared" si="4"/>
        <v>0</v>
      </c>
      <c r="I12" s="124">
        <f t="shared" si="4"/>
        <v>0</v>
      </c>
      <c r="J12" s="124">
        <f t="shared" si="4"/>
        <v>0</v>
      </c>
      <c r="K12" s="124">
        <f t="shared" si="4"/>
        <v>0</v>
      </c>
    </row>
    <row r="13" ht="14.25" customHeight="1">
      <c r="A13" s="22" t="s">
        <v>194</v>
      </c>
      <c r="E13" s="125"/>
      <c r="F13" s="125"/>
      <c r="G13" s="125">
        <v>0.0</v>
      </c>
      <c r="H13" s="125">
        <v>0.0</v>
      </c>
      <c r="I13" s="125">
        <v>0.0</v>
      </c>
      <c r="J13" s="125">
        <v>0.0</v>
      </c>
      <c r="K13" s="125">
        <v>0.0</v>
      </c>
    </row>
    <row r="14" ht="14.25" customHeight="1">
      <c r="A14" s="22" t="s">
        <v>195</v>
      </c>
      <c r="I14" s="5"/>
      <c r="J14" s="5"/>
      <c r="K14" s="5"/>
    </row>
    <row r="15" ht="14.25" customHeight="1">
      <c r="A15" s="25" t="s">
        <v>196</v>
      </c>
      <c r="B15" s="24"/>
      <c r="C15" s="24"/>
      <c r="D15" s="24"/>
      <c r="E15" s="126"/>
      <c r="F15" s="127">
        <f>B.S!E30</f>
        <v>0</v>
      </c>
      <c r="G15" s="126">
        <f t="shared" ref="G15:K15" si="5">SUM(G12:G14)</f>
        <v>0</v>
      </c>
      <c r="H15" s="126">
        <f t="shared" si="5"/>
        <v>0</v>
      </c>
      <c r="I15" s="126">
        <f t="shared" si="5"/>
        <v>0</v>
      </c>
      <c r="J15" s="126">
        <f t="shared" si="5"/>
        <v>0</v>
      </c>
      <c r="K15" s="126">
        <f t="shared" si="5"/>
        <v>0</v>
      </c>
    </row>
    <row r="16" ht="14.25" customHeight="1">
      <c r="A16" s="22" t="s">
        <v>198</v>
      </c>
      <c r="E16" s="26"/>
      <c r="F16" s="26"/>
      <c r="G16" s="26">
        <f t="shared" ref="G16:K16" si="6">AVERAGE(F15:G15)*G17</f>
        <v>0</v>
      </c>
      <c r="H16" s="26">
        <f t="shared" si="6"/>
        <v>0</v>
      </c>
      <c r="I16" s="26">
        <f t="shared" si="6"/>
        <v>0</v>
      </c>
      <c r="J16" s="26">
        <f t="shared" si="6"/>
        <v>0</v>
      </c>
      <c r="K16" s="26">
        <f t="shared" si="6"/>
        <v>0</v>
      </c>
    </row>
    <row r="17" ht="14.25" customHeight="1">
      <c r="A17" s="128" t="s">
        <v>200</v>
      </c>
      <c r="E17" s="129"/>
      <c r="F17" s="129"/>
      <c r="G17" s="21">
        <f>6.6/(375*(4/12))</f>
        <v>0.0528</v>
      </c>
      <c r="H17" s="21">
        <v>0.0528</v>
      </c>
      <c r="I17" s="21">
        <v>0.0528</v>
      </c>
      <c r="J17" s="21">
        <v>0.0528</v>
      </c>
      <c r="K17" s="21">
        <v>0.0528</v>
      </c>
    </row>
    <row r="18" ht="14.25" customHeight="1"/>
    <row r="19" ht="14.25" customHeight="1">
      <c r="A19" s="121" t="s">
        <v>201</v>
      </c>
    </row>
    <row r="20" ht="14.25" customHeight="1">
      <c r="A20" s="118" t="s">
        <v>202</v>
      </c>
      <c r="E20" s="124"/>
      <c r="F20" s="124"/>
      <c r="G20" s="124">
        <f t="shared" ref="G20:K20" si="7">F23</f>
        <v>0</v>
      </c>
      <c r="H20" s="124">
        <f t="shared" si="7"/>
        <v>0</v>
      </c>
      <c r="I20" s="124">
        <f t="shared" si="7"/>
        <v>0</v>
      </c>
      <c r="J20" s="124">
        <f t="shared" si="7"/>
        <v>0</v>
      </c>
      <c r="K20" s="124">
        <f t="shared" si="7"/>
        <v>0</v>
      </c>
    </row>
    <row r="21" ht="14.25" customHeight="1">
      <c r="A21" s="22" t="s">
        <v>194</v>
      </c>
      <c r="E21" s="125"/>
      <c r="F21" s="125"/>
      <c r="G21" s="125">
        <v>0.0</v>
      </c>
      <c r="H21" s="125">
        <v>0.0</v>
      </c>
      <c r="I21" s="125">
        <v>0.0</v>
      </c>
      <c r="J21" s="125">
        <v>0.0</v>
      </c>
      <c r="K21" s="125">
        <v>0.0</v>
      </c>
    </row>
    <row r="22" ht="14.25" customHeight="1">
      <c r="A22" s="22" t="s">
        <v>195</v>
      </c>
    </row>
    <row r="23" ht="14.25" customHeight="1">
      <c r="A23" s="25" t="s">
        <v>204</v>
      </c>
      <c r="B23" s="24"/>
      <c r="C23" s="24"/>
      <c r="D23" s="24"/>
      <c r="E23" s="126"/>
      <c r="F23" s="127">
        <f>B.S!E37</f>
        <v>0</v>
      </c>
      <c r="G23" s="126">
        <f t="shared" ref="G23:K23" si="8">SUM(G20:G22)</f>
        <v>0</v>
      </c>
      <c r="H23" s="126">
        <f t="shared" si="8"/>
        <v>0</v>
      </c>
      <c r="I23" s="126">
        <f t="shared" si="8"/>
        <v>0</v>
      </c>
      <c r="J23" s="126">
        <f t="shared" si="8"/>
        <v>0</v>
      </c>
      <c r="K23" s="126">
        <f t="shared" si="8"/>
        <v>0</v>
      </c>
    </row>
    <row r="24" ht="14.25" customHeight="1">
      <c r="A24" s="22" t="s">
        <v>205</v>
      </c>
      <c r="E24" s="26"/>
      <c r="F24" s="26"/>
      <c r="G24" s="26">
        <f t="shared" ref="G24:K24" si="9">AVERAGE(F23:G23)*G25</f>
        <v>0</v>
      </c>
      <c r="H24" s="26">
        <f t="shared" si="9"/>
        <v>0</v>
      </c>
      <c r="I24" s="26">
        <f t="shared" si="9"/>
        <v>0</v>
      </c>
      <c r="J24" s="26">
        <f t="shared" si="9"/>
        <v>0</v>
      </c>
      <c r="K24" s="26">
        <f t="shared" si="9"/>
        <v>0</v>
      </c>
    </row>
    <row r="25" ht="14.25" customHeight="1">
      <c r="A25" s="128" t="s">
        <v>206</v>
      </c>
      <c r="E25" s="129"/>
      <c r="F25" s="129"/>
      <c r="G25" s="21">
        <v>0.0</v>
      </c>
      <c r="H25" s="21">
        <v>0.0</v>
      </c>
      <c r="I25" s="21">
        <v>0.0</v>
      </c>
      <c r="J25" s="21">
        <v>0.0</v>
      </c>
      <c r="K25" s="21">
        <v>0.0</v>
      </c>
    </row>
    <row r="26" ht="14.25" customHeight="1"/>
    <row r="27" ht="14.25" customHeight="1">
      <c r="A27" s="25" t="s">
        <v>207</v>
      </c>
      <c r="E27" s="124"/>
      <c r="F27" s="124"/>
      <c r="G27" s="26">
        <f t="shared" ref="G27:K27" si="10">G13+G14+G21+G22</f>
        <v>0</v>
      </c>
      <c r="H27" s="26">
        <f t="shared" si="10"/>
        <v>0</v>
      </c>
      <c r="I27" s="26">
        <f t="shared" si="10"/>
        <v>0</v>
      </c>
      <c r="J27" s="26">
        <f t="shared" si="10"/>
        <v>0</v>
      </c>
      <c r="K27" s="26">
        <f t="shared" si="10"/>
        <v>0</v>
      </c>
    </row>
    <row r="28" ht="14.25" customHeight="1">
      <c r="A28" s="25" t="s">
        <v>209</v>
      </c>
      <c r="E28" s="19"/>
      <c r="F28" s="19"/>
      <c r="G28" s="26">
        <f t="shared" ref="G28:K28" si="11">G16+G24</f>
        <v>0</v>
      </c>
      <c r="H28" s="26">
        <f t="shared" si="11"/>
        <v>0</v>
      </c>
      <c r="I28" s="26">
        <f t="shared" si="11"/>
        <v>0</v>
      </c>
      <c r="J28" s="26">
        <f t="shared" si="11"/>
        <v>0</v>
      </c>
      <c r="K28" s="26">
        <f t="shared" si="11"/>
        <v>0</v>
      </c>
    </row>
    <row r="29" ht="14.25" customHeight="1">
      <c r="A29" s="25" t="s">
        <v>210</v>
      </c>
      <c r="B29" s="24"/>
      <c r="C29" s="24"/>
      <c r="D29" s="24"/>
      <c r="E29" s="20"/>
      <c r="F29" s="133">
        <f>B.S!E3</f>
        <v>2088117</v>
      </c>
      <c r="G29" s="20" t="str">
        <f t="shared" ref="G29:K29" si="12">G27+G6+G7</f>
        <v>#REF!</v>
      </c>
      <c r="H29" s="20" t="str">
        <f t="shared" si="12"/>
        <v>#REF!</v>
      </c>
      <c r="I29" s="20" t="str">
        <f t="shared" si="12"/>
        <v>#REF!</v>
      </c>
      <c r="J29" s="20" t="str">
        <f t="shared" si="12"/>
        <v>#REF!</v>
      </c>
      <c r="K29" s="20" t="str">
        <f t="shared" si="12"/>
        <v>#REF!</v>
      </c>
    </row>
    <row r="30" ht="14.25" customHeight="1">
      <c r="A30" s="22" t="s">
        <v>212</v>
      </c>
      <c r="E30" s="19"/>
      <c r="F30" s="19"/>
      <c r="G30" s="17" t="str">
        <f t="shared" ref="G30:K30" si="13">AVERAGE(F29:G29)*G31</f>
        <v>#REF!</v>
      </c>
      <c r="H30" s="17" t="str">
        <f t="shared" si="13"/>
        <v>#REF!</v>
      </c>
      <c r="I30" s="17" t="str">
        <f t="shared" si="13"/>
        <v>#REF!</v>
      </c>
      <c r="J30" s="17" t="str">
        <f t="shared" si="13"/>
        <v>#REF!</v>
      </c>
      <c r="K30" s="17" t="str">
        <f t="shared" si="13"/>
        <v>#REF!</v>
      </c>
    </row>
    <row r="31" ht="14.25" customHeight="1">
      <c r="A31" s="128" t="s">
        <v>214</v>
      </c>
      <c r="E31" s="129"/>
      <c r="F31" s="129"/>
      <c r="G31" s="11">
        <v>0.02</v>
      </c>
      <c r="H31" s="11">
        <v>0.02</v>
      </c>
      <c r="I31" s="11">
        <v>0.02</v>
      </c>
      <c r="J31" s="11">
        <v>0.02</v>
      </c>
      <c r="K31" s="11">
        <v>0.02</v>
      </c>
    </row>
    <row r="32" ht="14.25" customHeight="1"/>
    <row r="33" ht="14.25" customHeight="1">
      <c r="A33" s="98" t="s">
        <v>213</v>
      </c>
      <c r="B33" s="134"/>
      <c r="C33" s="135"/>
      <c r="D33" s="135"/>
      <c r="E33" s="135"/>
      <c r="F33" s="135"/>
      <c r="G33" s="135"/>
      <c r="H33" s="135"/>
    </row>
    <row r="34" ht="14.25" customHeight="1">
      <c r="I34" s="126"/>
      <c r="J34" s="126"/>
      <c r="K34" s="126"/>
    </row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3">
    <mergeCell ref="B2:D2"/>
    <mergeCell ref="E2:I2"/>
    <mergeCell ref="J2:K2"/>
  </mergeCells>
  <printOptions/>
  <pageMargins bottom="0.75" footer="0.0" header="0.0" left="0.7" right="0.7" top="0.75"/>
  <pageSetup orientation="portrait"/>
  <drawing r:id="rId2"/>
  <legacyDrawing r:id="rId3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acer</dc:creator>
</cp:coreProperties>
</file>