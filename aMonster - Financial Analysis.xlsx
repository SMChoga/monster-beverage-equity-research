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imba\U.S Companies - Equity Reseach\Consumer Staples Sector\Berverage and Tobacco\Beverage\Monster Beverage Corporation\Monster - Research Documents\"/>
    </mc:Choice>
  </mc:AlternateContent>
  <xr:revisionPtr revIDLastSave="0" documentId="13_ncr:1_{E6390B0E-D170-4AF7-B4D7-A478AC5B831C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Financial Analysis Memo" sheetId="8" r:id="rId1"/>
    <sheet name="Vertical Analysis" sheetId="9" r:id="rId2"/>
    <sheet name="Horizontal Analysis" sheetId="10" r:id="rId3"/>
    <sheet name="Common Size" sheetId="18" r:id="rId4"/>
    <sheet name="Index Analysis" sheetId="19" r:id="rId5"/>
    <sheet name="Financial Ratios" sheetId="11" r:id="rId6"/>
    <sheet name="Investment Analysis (1)" sheetId="17" r:id="rId7"/>
    <sheet name="Monster Consolidated Statements" sheetId="21" r:id="rId8"/>
    <sheet name="Monster Investment Analysis (2)" sheetId="20" r:id="rId9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7CLepBPDW1+CdMoskpG2BQ2od5n+CkHBSt3xk0eVo4="/>
    </ext>
  </extLst>
</workbook>
</file>

<file path=xl/calcChain.xml><?xml version="1.0" encoding="utf-8"?>
<calcChain xmlns="http://schemas.openxmlformats.org/spreadsheetml/2006/main">
  <c r="Q99" i="17" l="1"/>
  <c r="Q29" i="17"/>
  <c r="Q28" i="17"/>
  <c r="S87" i="17"/>
  <c r="C3" i="21"/>
  <c r="D3" i="21" s="1"/>
  <c r="E3" i="21" s="1"/>
  <c r="F3" i="21" s="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T3" i="21" s="1"/>
  <c r="U3" i="21" s="1"/>
  <c r="V3" i="21" s="1"/>
  <c r="W3" i="21" s="1"/>
  <c r="X3" i="21" s="1"/>
  <c r="Y3" i="21" s="1"/>
  <c r="Z3" i="21" s="1"/>
  <c r="AA3" i="21" s="1"/>
  <c r="AB3" i="21" s="1"/>
  <c r="AC3" i="21" s="1"/>
  <c r="AD3" i="21" s="1"/>
  <c r="AE3" i="21" s="1"/>
  <c r="AF3" i="21" s="1"/>
  <c r="AG3" i="21" s="1"/>
  <c r="AI6" i="21"/>
  <c r="AL6" i="21"/>
  <c r="AO6" i="21"/>
  <c r="AR6" i="21"/>
  <c r="C7" i="21"/>
  <c r="D7" i="21"/>
  <c r="E7" i="21"/>
  <c r="F7" i="21"/>
  <c r="G7" i="21"/>
  <c r="H7" i="21"/>
  <c r="I7" i="21"/>
  <c r="J7" i="21"/>
  <c r="K7" i="21"/>
  <c r="AJ6" i="21" s="1"/>
  <c r="L7" i="21"/>
  <c r="M7" i="21"/>
  <c r="N7" i="21"/>
  <c r="O7" i="21"/>
  <c r="P7" i="21"/>
  <c r="Q7" i="21"/>
  <c r="R7" i="21"/>
  <c r="S7" i="21"/>
  <c r="T7" i="21"/>
  <c r="AM6" i="21" s="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I8" i="21"/>
  <c r="AJ8" i="21"/>
  <c r="AL8" i="21"/>
  <c r="AO8" i="21"/>
  <c r="AR8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AP8" i="21" s="1"/>
  <c r="Y9" i="21"/>
  <c r="Z9" i="21"/>
  <c r="AA9" i="21"/>
  <c r="AB9" i="21"/>
  <c r="AC9" i="21"/>
  <c r="AD9" i="21"/>
  <c r="AE9" i="21"/>
  <c r="AF9" i="21"/>
  <c r="AG9" i="21"/>
  <c r="B10" i="21"/>
  <c r="C10" i="21"/>
  <c r="D10" i="21"/>
  <c r="D23" i="21" s="1"/>
  <c r="D24" i="21" s="1"/>
  <c r="E10" i="21"/>
  <c r="E11" i="21" s="1"/>
  <c r="F10" i="21"/>
  <c r="F11" i="21" s="1"/>
  <c r="G10" i="21"/>
  <c r="H10" i="21"/>
  <c r="I10" i="21"/>
  <c r="I11" i="21" s="1"/>
  <c r="J10" i="21"/>
  <c r="K10" i="21"/>
  <c r="K11" i="21" s="1"/>
  <c r="L10" i="21"/>
  <c r="L11" i="21" s="1"/>
  <c r="M10" i="21"/>
  <c r="N10" i="21"/>
  <c r="O10" i="21"/>
  <c r="P10" i="21"/>
  <c r="Q10" i="21"/>
  <c r="Q11" i="21" s="1"/>
  <c r="R10" i="21"/>
  <c r="R11" i="21" s="1"/>
  <c r="S10" i="21"/>
  <c r="T10" i="21"/>
  <c r="U10" i="21"/>
  <c r="U11" i="21" s="1"/>
  <c r="V10" i="21"/>
  <c r="W10" i="21"/>
  <c r="Q47" i="20" s="1"/>
  <c r="Q48" i="20" s="1"/>
  <c r="X10" i="21"/>
  <c r="X11" i="21" s="1"/>
  <c r="Y10" i="21"/>
  <c r="Z10" i="21"/>
  <c r="AA10" i="21"/>
  <c r="AB10" i="21"/>
  <c r="AC10" i="21"/>
  <c r="AC11" i="21" s="1"/>
  <c r="AD10" i="21"/>
  <c r="AD11" i="21" s="1"/>
  <c r="AE10" i="21"/>
  <c r="AF10" i="21"/>
  <c r="AG10" i="21"/>
  <c r="AG11" i="21" s="1"/>
  <c r="B11" i="21"/>
  <c r="C11" i="21"/>
  <c r="D11" i="21"/>
  <c r="H11" i="21"/>
  <c r="J11" i="21"/>
  <c r="M11" i="21"/>
  <c r="N11" i="21"/>
  <c r="O11" i="21"/>
  <c r="T11" i="21"/>
  <c r="Y11" i="21"/>
  <c r="Z11" i="21"/>
  <c r="AA11" i="21"/>
  <c r="AB11" i="21"/>
  <c r="AF11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B21" i="21"/>
  <c r="C21" i="21"/>
  <c r="D21" i="21"/>
  <c r="E21" i="21"/>
  <c r="E22" i="21" s="1"/>
  <c r="F21" i="21"/>
  <c r="F22" i="21" s="1"/>
  <c r="G21" i="21"/>
  <c r="H21" i="21"/>
  <c r="I21" i="21"/>
  <c r="J21" i="21"/>
  <c r="J22" i="21" s="1"/>
  <c r="K21" i="21"/>
  <c r="K22" i="21" s="1"/>
  <c r="L21" i="21"/>
  <c r="M21" i="21"/>
  <c r="N21" i="21"/>
  <c r="O21" i="21"/>
  <c r="P21" i="21"/>
  <c r="Q21" i="21"/>
  <c r="Q22" i="21" s="1"/>
  <c r="R21" i="21"/>
  <c r="R22" i="21" s="1"/>
  <c r="S21" i="21"/>
  <c r="T21" i="21"/>
  <c r="T23" i="21" s="1"/>
  <c r="T29" i="21" s="1"/>
  <c r="U21" i="21"/>
  <c r="V21" i="21"/>
  <c r="W21" i="21"/>
  <c r="X21" i="21"/>
  <c r="Y21" i="21"/>
  <c r="Y22" i="21" s="1"/>
  <c r="Z21" i="21"/>
  <c r="AA21" i="21"/>
  <c r="AB21" i="21"/>
  <c r="AC21" i="21"/>
  <c r="AC22" i="21" s="1"/>
  <c r="AD21" i="21"/>
  <c r="AD22" i="21" s="1"/>
  <c r="AE21" i="21"/>
  <c r="AF21" i="21"/>
  <c r="AG22" i="21" s="1"/>
  <c r="AG21" i="21"/>
  <c r="AR21" i="21" s="1"/>
  <c r="AI21" i="21"/>
  <c r="C22" i="21"/>
  <c r="D22" i="21"/>
  <c r="I22" i="21"/>
  <c r="O22" i="21"/>
  <c r="P22" i="21"/>
  <c r="U22" i="21"/>
  <c r="V22" i="21"/>
  <c r="Z22" i="21"/>
  <c r="AA22" i="21"/>
  <c r="AB22" i="21"/>
  <c r="B23" i="21"/>
  <c r="B24" i="21" s="1"/>
  <c r="C23" i="21"/>
  <c r="F23" i="21"/>
  <c r="H23" i="21"/>
  <c r="I23" i="21"/>
  <c r="N23" i="21"/>
  <c r="O23" i="21"/>
  <c r="R23" i="21"/>
  <c r="R29" i="21" s="1"/>
  <c r="U23" i="21"/>
  <c r="W23" i="21"/>
  <c r="Q15" i="20" s="1"/>
  <c r="Y23" i="21"/>
  <c r="Z23" i="21"/>
  <c r="AA23" i="21"/>
  <c r="AD23" i="21"/>
  <c r="AD29" i="21" s="1"/>
  <c r="AF23" i="21"/>
  <c r="AF24" i="21" s="1"/>
  <c r="AG23" i="21"/>
  <c r="AG24" i="21" s="1"/>
  <c r="C24" i="21"/>
  <c r="O24" i="21"/>
  <c r="AA24" i="21"/>
  <c r="AD24" i="21"/>
  <c r="C29" i="21"/>
  <c r="C30" i="21" s="1"/>
  <c r="D29" i="21"/>
  <c r="N29" i="21"/>
  <c r="O29" i="21"/>
  <c r="O30" i="21" s="1"/>
  <c r="AA29" i="21"/>
  <c r="AA30" i="21" s="1"/>
  <c r="AF29" i="21"/>
  <c r="AF33" i="21" s="1"/>
  <c r="AG29" i="21"/>
  <c r="R30" i="21"/>
  <c r="AD30" i="21"/>
  <c r="AF30" i="21"/>
  <c r="C33" i="21"/>
  <c r="O33" i="21"/>
  <c r="R33" i="21"/>
  <c r="AA33" i="21"/>
  <c r="AD33" i="21"/>
  <c r="R36" i="21"/>
  <c r="AD36" i="21"/>
  <c r="AF36" i="21"/>
  <c r="C37" i="21"/>
  <c r="R37" i="21"/>
  <c r="AA37" i="21"/>
  <c r="P51" i="21"/>
  <c r="U51" i="21"/>
  <c r="U52" i="21" s="1"/>
  <c r="V51" i="21"/>
  <c r="W51" i="21"/>
  <c r="X51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Q52" i="21"/>
  <c r="R52" i="21"/>
  <c r="S52" i="21"/>
  <c r="T52" i="21"/>
  <c r="V52" i="21"/>
  <c r="W52" i="21"/>
  <c r="Y52" i="21"/>
  <c r="Z52" i="21"/>
  <c r="AA52" i="21"/>
  <c r="AB52" i="21"/>
  <c r="AC52" i="21"/>
  <c r="AD52" i="21"/>
  <c r="AE52" i="21"/>
  <c r="AF52" i="21"/>
  <c r="AG52" i="21"/>
  <c r="C58" i="21"/>
  <c r="D58" i="21"/>
  <c r="E58" i="21"/>
  <c r="F58" i="21"/>
  <c r="G58" i="21"/>
  <c r="H58" i="21"/>
  <c r="H71" i="21" s="1"/>
  <c r="I58" i="21"/>
  <c r="J58" i="21"/>
  <c r="K58" i="21"/>
  <c r="L58" i="21"/>
  <c r="M58" i="21"/>
  <c r="M71" i="21" s="1"/>
  <c r="N58" i="21"/>
  <c r="O58" i="21"/>
  <c r="Q58" i="21"/>
  <c r="R58" i="21"/>
  <c r="S58" i="21"/>
  <c r="T58" i="21"/>
  <c r="T71" i="21" s="1"/>
  <c r="U58" i="21"/>
  <c r="V58" i="21"/>
  <c r="Y58" i="21"/>
  <c r="Y71" i="21" s="1"/>
  <c r="Z58" i="21"/>
  <c r="AA58" i="21"/>
  <c r="AB58" i="21"/>
  <c r="AC58" i="21"/>
  <c r="AD58" i="21"/>
  <c r="AE58" i="21"/>
  <c r="AF58" i="21"/>
  <c r="AF71" i="21" s="1"/>
  <c r="AG58" i="21"/>
  <c r="AI62" i="21"/>
  <c r="AL62" i="21"/>
  <c r="AO62" i="21"/>
  <c r="AR62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C70" i="21"/>
  <c r="D70" i="21"/>
  <c r="D71" i="21" s="1"/>
  <c r="E70" i="21"/>
  <c r="F70" i="21"/>
  <c r="F71" i="21" s="1"/>
  <c r="G70" i="21"/>
  <c r="G71" i="21" s="1"/>
  <c r="B6" i="20" s="1"/>
  <c r="B9" i="20" s="1"/>
  <c r="H70" i="21"/>
  <c r="I70" i="21"/>
  <c r="I71" i="21" s="1"/>
  <c r="C6" i="20" s="1"/>
  <c r="J70" i="21"/>
  <c r="J71" i="21" s="1"/>
  <c r="K70" i="21"/>
  <c r="L70" i="21"/>
  <c r="M70" i="21"/>
  <c r="N70" i="21"/>
  <c r="O70" i="21"/>
  <c r="P70" i="21"/>
  <c r="Q70" i="21"/>
  <c r="R70" i="21"/>
  <c r="R71" i="21" s="1"/>
  <c r="S70" i="21"/>
  <c r="S71" i="21" s="1"/>
  <c r="N6" i="20" s="1"/>
  <c r="T70" i="21"/>
  <c r="U70" i="21"/>
  <c r="V70" i="21"/>
  <c r="V71" i="21" s="1"/>
  <c r="W70" i="21"/>
  <c r="X70" i="21"/>
  <c r="Y70" i="21"/>
  <c r="Z70" i="21"/>
  <c r="AA70" i="21"/>
  <c r="AB70" i="21"/>
  <c r="AB71" i="21" s="1"/>
  <c r="AC70" i="21"/>
  <c r="AD70" i="21"/>
  <c r="AD71" i="21" s="1"/>
  <c r="AE70" i="21"/>
  <c r="AF70" i="21"/>
  <c r="AG70" i="21"/>
  <c r="C71" i="21"/>
  <c r="E71" i="21"/>
  <c r="K71" i="21"/>
  <c r="L71" i="21"/>
  <c r="G6" i="20" s="1"/>
  <c r="G9" i="20" s="1"/>
  <c r="N71" i="21"/>
  <c r="I6" i="20" s="1"/>
  <c r="I10" i="20" s="1"/>
  <c r="O71" i="21"/>
  <c r="Q71" i="21"/>
  <c r="L6" i="20" s="1"/>
  <c r="U71" i="21"/>
  <c r="P6" i="20" s="1"/>
  <c r="Z71" i="21"/>
  <c r="AA71" i="21"/>
  <c r="V6" i="20" s="1"/>
  <c r="V10" i="20" s="1"/>
  <c r="AC71" i="21"/>
  <c r="X6" i="20" s="1"/>
  <c r="AG71" i="21"/>
  <c r="AA6" i="20" s="1"/>
  <c r="C84" i="21"/>
  <c r="D84" i="21"/>
  <c r="D92" i="21" s="1"/>
  <c r="D101" i="21" s="1"/>
  <c r="E84" i="21"/>
  <c r="E92" i="21" s="1"/>
  <c r="F84" i="21"/>
  <c r="G84" i="21"/>
  <c r="H84" i="21"/>
  <c r="I84" i="21"/>
  <c r="J84" i="21"/>
  <c r="K84" i="21"/>
  <c r="L84" i="21"/>
  <c r="M84" i="21"/>
  <c r="N84" i="21"/>
  <c r="O84" i="21"/>
  <c r="P84" i="21"/>
  <c r="P92" i="21" s="1"/>
  <c r="P101" i="21" s="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B92" i="21" s="1"/>
  <c r="AB101" i="21" s="1"/>
  <c r="AC84" i="21"/>
  <c r="AC92" i="21" s="1"/>
  <c r="AD84" i="21"/>
  <c r="AE84" i="21"/>
  <c r="AF84" i="21"/>
  <c r="AG84" i="21"/>
  <c r="C91" i="21"/>
  <c r="D91" i="21"/>
  <c r="E91" i="21"/>
  <c r="F91" i="21"/>
  <c r="G91" i="21"/>
  <c r="G92" i="21" s="1"/>
  <c r="H91" i="21"/>
  <c r="I91" i="21"/>
  <c r="I92" i="21" s="1"/>
  <c r="I101" i="21" s="1"/>
  <c r="J91" i="21"/>
  <c r="J92" i="21" s="1"/>
  <c r="K91" i="21"/>
  <c r="L91" i="21"/>
  <c r="M91" i="21"/>
  <c r="M92" i="21" s="1"/>
  <c r="N91" i="21"/>
  <c r="O91" i="21"/>
  <c r="P91" i="21"/>
  <c r="Q91" i="21"/>
  <c r="R91" i="21"/>
  <c r="S91" i="21"/>
  <c r="T91" i="21"/>
  <c r="U91" i="21"/>
  <c r="U92" i="21" s="1"/>
  <c r="U101" i="21" s="1"/>
  <c r="V91" i="21"/>
  <c r="V92" i="21" s="1"/>
  <c r="W91" i="21"/>
  <c r="X91" i="21"/>
  <c r="Y91" i="21"/>
  <c r="Y92" i="21" s="1"/>
  <c r="Y101" i="21" s="1"/>
  <c r="Z91" i="21"/>
  <c r="AA91" i="21"/>
  <c r="AB91" i="21"/>
  <c r="AC91" i="21"/>
  <c r="AD91" i="21"/>
  <c r="AE91" i="21"/>
  <c r="AE92" i="21" s="1"/>
  <c r="AF91" i="21"/>
  <c r="AG91" i="21"/>
  <c r="AG92" i="21" s="1"/>
  <c r="AG101" i="21" s="1"/>
  <c r="C92" i="21"/>
  <c r="F92" i="21"/>
  <c r="F101" i="21" s="1"/>
  <c r="H92" i="21"/>
  <c r="K92" i="21"/>
  <c r="L92" i="21"/>
  <c r="L101" i="21" s="1"/>
  <c r="O92" i="21"/>
  <c r="O101" i="21" s="1"/>
  <c r="Q92" i="21"/>
  <c r="Q101" i="21" s="1"/>
  <c r="R92" i="21"/>
  <c r="R101" i="21" s="1"/>
  <c r="S92" i="21"/>
  <c r="T92" i="21"/>
  <c r="W92" i="21"/>
  <c r="X92" i="21"/>
  <c r="AA92" i="21"/>
  <c r="AD92" i="21"/>
  <c r="AF92" i="21"/>
  <c r="C100" i="21"/>
  <c r="D100" i="21"/>
  <c r="E100" i="21"/>
  <c r="E101" i="21" s="1"/>
  <c r="F100" i="21"/>
  <c r="G100" i="21"/>
  <c r="H100" i="21"/>
  <c r="I100" i="21"/>
  <c r="J100" i="21"/>
  <c r="K100" i="21"/>
  <c r="K101" i="21" s="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W101" i="21" s="1"/>
  <c r="X100" i="21"/>
  <c r="Y100" i="21"/>
  <c r="Z100" i="21"/>
  <c r="AA100" i="21"/>
  <c r="AB100" i="21"/>
  <c r="AC100" i="21"/>
  <c r="W7" i="20" s="1"/>
  <c r="AD100" i="21"/>
  <c r="AE100" i="21"/>
  <c r="AF100" i="21"/>
  <c r="AG100" i="21"/>
  <c r="C101" i="21"/>
  <c r="M101" i="21"/>
  <c r="X101" i="21"/>
  <c r="AA101" i="21"/>
  <c r="AC101" i="21"/>
  <c r="AD101" i="21"/>
  <c r="N123" i="21"/>
  <c r="O123" i="21"/>
  <c r="O135" i="21" s="1"/>
  <c r="P123" i="21"/>
  <c r="Q123" i="21"/>
  <c r="Q135" i="21" s="1"/>
  <c r="K25" i="20" s="1"/>
  <c r="R123" i="21"/>
  <c r="S123" i="21"/>
  <c r="S135" i="21" s="1"/>
  <c r="M25" i="20" s="1"/>
  <c r="T123" i="21"/>
  <c r="T135" i="21" s="1"/>
  <c r="U123" i="21"/>
  <c r="U135" i="21" s="1"/>
  <c r="V123" i="21"/>
  <c r="V135" i="21" s="1"/>
  <c r="P75" i="20" s="1"/>
  <c r="W123" i="21"/>
  <c r="X123" i="21"/>
  <c r="Y123" i="21"/>
  <c r="Z123" i="21"/>
  <c r="Q124" i="21"/>
  <c r="S126" i="21"/>
  <c r="B135" i="21"/>
  <c r="C135" i="21"/>
  <c r="D135" i="21"/>
  <c r="E135" i="21"/>
  <c r="F135" i="21"/>
  <c r="G135" i="21"/>
  <c r="G167" i="21" s="1"/>
  <c r="H135" i="21"/>
  <c r="I135" i="21"/>
  <c r="J135" i="21"/>
  <c r="K135" i="21"/>
  <c r="E75" i="20" s="1"/>
  <c r="E77" i="20" s="1"/>
  <c r="L135" i="21"/>
  <c r="M135" i="21"/>
  <c r="N135" i="21"/>
  <c r="P135" i="21"/>
  <c r="R135" i="21"/>
  <c r="W135" i="21"/>
  <c r="X135" i="21"/>
  <c r="Y135" i="21"/>
  <c r="Z135" i="21"/>
  <c r="T25" i="20" s="1"/>
  <c r="T28" i="20" s="1"/>
  <c r="T31" i="20" s="1"/>
  <c r="AA135" i="21"/>
  <c r="AB135" i="21"/>
  <c r="AC135" i="21"/>
  <c r="AD135" i="21"/>
  <c r="AE135" i="21"/>
  <c r="AF135" i="21"/>
  <c r="AG135" i="21"/>
  <c r="B154" i="21"/>
  <c r="C154" i="21"/>
  <c r="C167" i="21" s="1"/>
  <c r="D154" i="21"/>
  <c r="E154" i="21"/>
  <c r="F154" i="21"/>
  <c r="F167" i="21" s="1"/>
  <c r="G154" i="21"/>
  <c r="H154" i="21"/>
  <c r="H167" i="21" s="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A167" i="21" s="1"/>
  <c r="AB154" i="21"/>
  <c r="AC154" i="21"/>
  <c r="AD154" i="21"/>
  <c r="AE154" i="21"/>
  <c r="AF154" i="21"/>
  <c r="AF167" i="21" s="1"/>
  <c r="Z36" i="20" s="1"/>
  <c r="AG154" i="21"/>
  <c r="B164" i="21"/>
  <c r="C164" i="21"/>
  <c r="D164" i="21"/>
  <c r="E164" i="21"/>
  <c r="F164" i="21"/>
  <c r="G164" i="21"/>
  <c r="H164" i="21"/>
  <c r="I164" i="21"/>
  <c r="J164" i="21"/>
  <c r="K164" i="21"/>
  <c r="L164" i="21"/>
  <c r="L167" i="21" s="1"/>
  <c r="F36" i="20" s="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X167" i="21" s="1"/>
  <c r="R36" i="20" s="1"/>
  <c r="Y164" i="21"/>
  <c r="Z164" i="21"/>
  <c r="AA164" i="21"/>
  <c r="AB164" i="21"/>
  <c r="AC164" i="21"/>
  <c r="AD164" i="21"/>
  <c r="AE164" i="21"/>
  <c r="AF164" i="21"/>
  <c r="AG164" i="21"/>
  <c r="B167" i="21"/>
  <c r="B169" i="21" s="1"/>
  <c r="C168" i="21" s="1"/>
  <c r="C169" i="21" s="1"/>
  <c r="D168" i="21" s="1"/>
  <c r="D169" i="21" s="1"/>
  <c r="E168" i="21" s="1"/>
  <c r="D167" i="21"/>
  <c r="E167" i="21"/>
  <c r="K167" i="21"/>
  <c r="N167" i="21"/>
  <c r="H36" i="20" s="1"/>
  <c r="W167" i="21"/>
  <c r="AC167" i="21"/>
  <c r="W36" i="20" s="1"/>
  <c r="AD167" i="21"/>
  <c r="X36" i="20" s="1"/>
  <c r="L4" i="20"/>
  <c r="B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V9" i="20" s="1"/>
  <c r="W5" i="20"/>
  <c r="X5" i="20"/>
  <c r="Y5" i="20"/>
  <c r="Z5" i="20"/>
  <c r="AA5" i="20"/>
  <c r="H6" i="20"/>
  <c r="H10" i="20" s="1"/>
  <c r="M6" i="20"/>
  <c r="M9" i="20" s="1"/>
  <c r="O6" i="20"/>
  <c r="T6" i="20"/>
  <c r="T10" i="20" s="1"/>
  <c r="H7" i="20"/>
  <c r="I7" i="20"/>
  <c r="J7" i="20"/>
  <c r="L7" i="20"/>
  <c r="M7" i="20"/>
  <c r="M10" i="20" s="1"/>
  <c r="N7" i="20"/>
  <c r="R7" i="20"/>
  <c r="T7" i="20"/>
  <c r="U7" i="20"/>
  <c r="V7" i="20"/>
  <c r="C9" i="20"/>
  <c r="B15" i="20"/>
  <c r="C15" i="20"/>
  <c r="I15" i="20"/>
  <c r="L15" i="20"/>
  <c r="L17" i="20" s="1"/>
  <c r="U15" i="20"/>
  <c r="X15" i="20"/>
  <c r="Z15" i="20"/>
  <c r="AA15" i="20"/>
  <c r="I16" i="20"/>
  <c r="L16" i="20"/>
  <c r="U16" i="20"/>
  <c r="U17" i="20" s="1"/>
  <c r="X16" i="20"/>
  <c r="Z16" i="20"/>
  <c r="B18" i="20"/>
  <c r="C18" i="20"/>
  <c r="D18" i="20"/>
  <c r="D19" i="20" s="1"/>
  <c r="D20" i="20" s="1"/>
  <c r="E18" i="20"/>
  <c r="E19" i="20" s="1"/>
  <c r="E20" i="20" s="1"/>
  <c r="F18" i="20"/>
  <c r="G18" i="20"/>
  <c r="G19" i="20" s="1"/>
  <c r="G20" i="20" s="1"/>
  <c r="H18" i="20"/>
  <c r="H19" i="20" s="1"/>
  <c r="H20" i="20" s="1"/>
  <c r="I18" i="20"/>
  <c r="I19" i="20" s="1"/>
  <c r="I20" i="20" s="1"/>
  <c r="J18" i="20"/>
  <c r="J19" i="20" s="1"/>
  <c r="J20" i="20" s="1"/>
  <c r="K18" i="20"/>
  <c r="L18" i="20"/>
  <c r="L19" i="20" s="1"/>
  <c r="M18" i="20"/>
  <c r="N18" i="20"/>
  <c r="N19" i="20" s="1"/>
  <c r="O18" i="20"/>
  <c r="P18" i="20"/>
  <c r="P19" i="20" s="1"/>
  <c r="P20" i="20" s="1"/>
  <c r="Q18" i="20"/>
  <c r="Q19" i="20" s="1"/>
  <c r="R18" i="20"/>
  <c r="S18" i="20"/>
  <c r="T18" i="20"/>
  <c r="U18" i="20"/>
  <c r="V18" i="20"/>
  <c r="W18" i="20"/>
  <c r="X18" i="20"/>
  <c r="X19" i="20" s="1"/>
  <c r="Y18" i="20"/>
  <c r="Z18" i="20"/>
  <c r="AA18" i="20"/>
  <c r="AA19" i="20" s="1"/>
  <c r="AA20" i="20" s="1"/>
  <c r="B19" i="20"/>
  <c r="C19" i="20"/>
  <c r="F19" i="20"/>
  <c r="F20" i="20" s="1"/>
  <c r="O19" i="20"/>
  <c r="S19" i="20"/>
  <c r="S20" i="20" s="1"/>
  <c r="T19" i="20"/>
  <c r="T20" i="20" s="1"/>
  <c r="U19" i="20"/>
  <c r="U20" i="20" s="1"/>
  <c r="V19" i="20"/>
  <c r="V20" i="20" s="1"/>
  <c r="C20" i="20"/>
  <c r="B25" i="20"/>
  <c r="C25" i="20"/>
  <c r="D25" i="20"/>
  <c r="E25" i="20"/>
  <c r="F25" i="20"/>
  <c r="F28" i="20" s="1"/>
  <c r="H25" i="20"/>
  <c r="H28" i="20" s="1"/>
  <c r="H37" i="20" s="1"/>
  <c r="I25" i="20"/>
  <c r="I28" i="20" s="1"/>
  <c r="I37" i="20" s="1"/>
  <c r="J25" i="20"/>
  <c r="O25" i="20"/>
  <c r="O28" i="20" s="1"/>
  <c r="R25" i="20"/>
  <c r="U25" i="20"/>
  <c r="W25" i="20"/>
  <c r="Z25" i="20"/>
  <c r="AA25" i="20"/>
  <c r="B26" i="20"/>
  <c r="C26" i="20"/>
  <c r="D26" i="20"/>
  <c r="D28" i="20" s="1"/>
  <c r="D37" i="20" s="1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B27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E28" i="20"/>
  <c r="E37" i="20" s="1"/>
  <c r="Z28" i="20"/>
  <c r="B29" i="20"/>
  <c r="C29" i="20"/>
  <c r="D29" i="20"/>
  <c r="E29" i="20"/>
  <c r="F29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B30" i="20"/>
  <c r="C30" i="20"/>
  <c r="D30" i="20"/>
  <c r="E30" i="20"/>
  <c r="F30" i="20"/>
  <c r="G30" i="20"/>
  <c r="H30" i="20"/>
  <c r="H31" i="20" s="1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B32" i="20"/>
  <c r="C32" i="20"/>
  <c r="D32" i="20"/>
  <c r="E32" i="20"/>
  <c r="F32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B33" i="20"/>
  <c r="C33" i="20"/>
  <c r="D33" i="20"/>
  <c r="E33" i="20"/>
  <c r="F33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B34" i="20"/>
  <c r="C34" i="20"/>
  <c r="D34" i="20"/>
  <c r="D35" i="20" s="1"/>
  <c r="E34" i="20"/>
  <c r="F34" i="20"/>
  <c r="F35" i="20" s="1"/>
  <c r="G34" i="20"/>
  <c r="H34" i="20"/>
  <c r="H35" i="20" s="1"/>
  <c r="I34" i="20"/>
  <c r="I35" i="20" s="1"/>
  <c r="J34" i="20"/>
  <c r="J35" i="20" s="1"/>
  <c r="K34" i="20"/>
  <c r="L34" i="20"/>
  <c r="L35" i="20" s="1"/>
  <c r="M34" i="20"/>
  <c r="N34" i="20"/>
  <c r="O34" i="20"/>
  <c r="O35" i="20" s="1"/>
  <c r="P34" i="20"/>
  <c r="Q34" i="20"/>
  <c r="Q35" i="20" s="1"/>
  <c r="R34" i="20"/>
  <c r="S34" i="20"/>
  <c r="T34" i="20"/>
  <c r="T35" i="20" s="1"/>
  <c r="U34" i="20"/>
  <c r="U35" i="20" s="1"/>
  <c r="V34" i="20"/>
  <c r="V35" i="20" s="1"/>
  <c r="W34" i="20"/>
  <c r="W35" i="20" s="1"/>
  <c r="X34" i="20"/>
  <c r="X35" i="20" s="1"/>
  <c r="Y34" i="20"/>
  <c r="Y35" i="20" s="1"/>
  <c r="Z34" i="20"/>
  <c r="Z35" i="20" s="1"/>
  <c r="AA34" i="20"/>
  <c r="AA35" i="20" s="1"/>
  <c r="B35" i="20"/>
  <c r="E35" i="20"/>
  <c r="G35" i="20"/>
  <c r="K35" i="20"/>
  <c r="M35" i="20"/>
  <c r="N35" i="20"/>
  <c r="P35" i="20"/>
  <c r="R35" i="20"/>
  <c r="S35" i="20"/>
  <c r="B36" i="20"/>
  <c r="E36" i="20"/>
  <c r="Q36" i="20"/>
  <c r="U36" i="20"/>
  <c r="Z37" i="20"/>
  <c r="B40" i="20"/>
  <c r="C40" i="20"/>
  <c r="C41" i="20" s="1"/>
  <c r="D40" i="20"/>
  <c r="D41" i="20" s="1"/>
  <c r="E40" i="20"/>
  <c r="F40" i="20"/>
  <c r="G40" i="20"/>
  <c r="H40" i="20"/>
  <c r="I40" i="20"/>
  <c r="J40" i="20"/>
  <c r="J41" i="20" s="1"/>
  <c r="K40" i="20"/>
  <c r="K41" i="20" s="1"/>
  <c r="L40" i="20"/>
  <c r="L41" i="20" s="1"/>
  <c r="M40" i="20"/>
  <c r="M41" i="20" s="1"/>
  <c r="N40" i="20"/>
  <c r="O40" i="20"/>
  <c r="O41" i="20" s="1"/>
  <c r="P40" i="20"/>
  <c r="P41" i="20" s="1"/>
  <c r="Q40" i="20"/>
  <c r="Q41" i="20" s="1"/>
  <c r="R40" i="20"/>
  <c r="R41" i="20" s="1"/>
  <c r="S40" i="20"/>
  <c r="S41" i="20" s="1"/>
  <c r="T40" i="20"/>
  <c r="T41" i="20" s="1"/>
  <c r="U40" i="20"/>
  <c r="U41" i="20" s="1"/>
  <c r="V40" i="20"/>
  <c r="V41" i="20" s="1"/>
  <c r="W40" i="20"/>
  <c r="W41" i="20" s="1"/>
  <c r="X40" i="20"/>
  <c r="X41" i="20" s="1"/>
  <c r="Y40" i="20"/>
  <c r="Y41" i="20" s="1"/>
  <c r="Z40" i="20"/>
  <c r="AA40" i="20"/>
  <c r="AA41" i="20" s="1"/>
  <c r="B41" i="20"/>
  <c r="E41" i="20"/>
  <c r="F41" i="20"/>
  <c r="G41" i="20"/>
  <c r="H41" i="20"/>
  <c r="I41" i="20"/>
  <c r="N41" i="20"/>
  <c r="Z41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B47" i="20"/>
  <c r="B48" i="20" s="1"/>
  <c r="C47" i="20"/>
  <c r="C48" i="20" s="1"/>
  <c r="E47" i="20"/>
  <c r="E48" i="20" s="1"/>
  <c r="F47" i="20"/>
  <c r="F48" i="20" s="1"/>
  <c r="G47" i="20"/>
  <c r="H47" i="20"/>
  <c r="H48" i="20" s="1"/>
  <c r="I47" i="20"/>
  <c r="K47" i="20"/>
  <c r="L47" i="20"/>
  <c r="M47" i="20"/>
  <c r="M48" i="20" s="1"/>
  <c r="N47" i="20"/>
  <c r="N48" i="20" s="1"/>
  <c r="O47" i="20"/>
  <c r="O48" i="20" s="1"/>
  <c r="S47" i="20"/>
  <c r="S48" i="20" s="1"/>
  <c r="T47" i="20"/>
  <c r="T48" i="20" s="1"/>
  <c r="U47" i="20"/>
  <c r="W47" i="20"/>
  <c r="W48" i="20" s="1"/>
  <c r="X47" i="20"/>
  <c r="X48" i="20" s="1"/>
  <c r="Y47" i="20"/>
  <c r="Y48" i="20" s="1"/>
  <c r="Z47" i="20"/>
  <c r="Z48" i="20" s="1"/>
  <c r="AA47" i="20"/>
  <c r="G48" i="20"/>
  <c r="I48" i="20"/>
  <c r="K48" i="20"/>
  <c r="L48" i="20"/>
  <c r="U48" i="20"/>
  <c r="AA48" i="20"/>
  <c r="B49" i="20"/>
  <c r="C49" i="20"/>
  <c r="D49" i="20"/>
  <c r="E49" i="20"/>
  <c r="F49" i="20"/>
  <c r="G49" i="20"/>
  <c r="H49" i="20"/>
  <c r="H50" i="20" s="1"/>
  <c r="H51" i="20" s="1"/>
  <c r="I49" i="20"/>
  <c r="J49" i="20"/>
  <c r="K49" i="20"/>
  <c r="L49" i="20"/>
  <c r="L50" i="20" s="1"/>
  <c r="L51" i="20" s="1"/>
  <c r="M49" i="20"/>
  <c r="N49" i="20"/>
  <c r="N50" i="20" s="1"/>
  <c r="N51" i="20" s="1"/>
  <c r="O49" i="20"/>
  <c r="P49" i="20"/>
  <c r="Q49" i="20"/>
  <c r="Q50" i="20" s="1"/>
  <c r="Q51" i="20" s="1"/>
  <c r="R49" i="20"/>
  <c r="S49" i="20"/>
  <c r="T49" i="20"/>
  <c r="U49" i="20"/>
  <c r="V49" i="20"/>
  <c r="W49" i="20"/>
  <c r="X49" i="20"/>
  <c r="X50" i="20" s="1"/>
  <c r="X51" i="20" s="1"/>
  <c r="Y49" i="20"/>
  <c r="Z49" i="20"/>
  <c r="Z50" i="20" s="1"/>
  <c r="Z51" i="20" s="1"/>
  <c r="AA49" i="20"/>
  <c r="AA50" i="20" s="1"/>
  <c r="AA51" i="20" s="1"/>
  <c r="C50" i="20"/>
  <c r="C51" i="20" s="1"/>
  <c r="I50" i="20"/>
  <c r="I51" i="20" s="1"/>
  <c r="U50" i="20"/>
  <c r="U51" i="20"/>
  <c r="B52" i="20"/>
  <c r="H52" i="20"/>
  <c r="I52" i="20"/>
  <c r="I53" i="20" s="1"/>
  <c r="L52" i="20"/>
  <c r="L53" i="20" s="1"/>
  <c r="N52" i="20"/>
  <c r="N53" i="20" s="1"/>
  <c r="U52" i="20"/>
  <c r="U53" i="20" s="1"/>
  <c r="X52" i="20"/>
  <c r="X53" i="20" s="1"/>
  <c r="Z52" i="20"/>
  <c r="AA52" i="20"/>
  <c r="AA53" i="20" s="1"/>
  <c r="B53" i="20"/>
  <c r="H53" i="20"/>
  <c r="Z53" i="20"/>
  <c r="B54" i="20"/>
  <c r="C54" i="20"/>
  <c r="D54" i="20"/>
  <c r="E54" i="20"/>
  <c r="F54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B55" i="20"/>
  <c r="C55" i="20"/>
  <c r="D55" i="20"/>
  <c r="E55" i="20"/>
  <c r="F55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B56" i="20"/>
  <c r="C56" i="20"/>
  <c r="D56" i="20"/>
  <c r="E56" i="20"/>
  <c r="F56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B57" i="20"/>
  <c r="C57" i="20"/>
  <c r="D57" i="20"/>
  <c r="E57" i="20"/>
  <c r="F57" i="20"/>
  <c r="G57" i="20"/>
  <c r="H57" i="20"/>
  <c r="I57" i="20"/>
  <c r="J57" i="20"/>
  <c r="L57" i="20"/>
  <c r="N57" i="20"/>
  <c r="O57" i="20"/>
  <c r="P57" i="20"/>
  <c r="Q57" i="20"/>
  <c r="R57" i="20"/>
  <c r="S57" i="20"/>
  <c r="T57" i="20"/>
  <c r="U57" i="20"/>
  <c r="V57" i="20"/>
  <c r="X57" i="20"/>
  <c r="Z57" i="20"/>
  <c r="AA57" i="20"/>
  <c r="B60" i="20"/>
  <c r="C60" i="20"/>
  <c r="D60" i="20"/>
  <c r="E60" i="20"/>
  <c r="F60" i="20"/>
  <c r="G60" i="20"/>
  <c r="H60" i="20"/>
  <c r="I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B63" i="20"/>
  <c r="B66" i="20" s="1"/>
  <c r="C63" i="20"/>
  <c r="D63" i="20"/>
  <c r="E63" i="20"/>
  <c r="F63" i="20"/>
  <c r="G63" i="20"/>
  <c r="H63" i="20"/>
  <c r="I63" i="20"/>
  <c r="L63" i="20"/>
  <c r="L66" i="20" s="1"/>
  <c r="M63" i="20"/>
  <c r="N63" i="20"/>
  <c r="O63" i="20"/>
  <c r="P63" i="20"/>
  <c r="Q63" i="20"/>
  <c r="S63" i="20"/>
  <c r="T63" i="20"/>
  <c r="U63" i="20"/>
  <c r="V63" i="20"/>
  <c r="W63" i="20"/>
  <c r="X63" i="20"/>
  <c r="X66" i="20" s="1"/>
  <c r="Y63" i="20"/>
  <c r="Z63" i="20"/>
  <c r="AA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W66" i="20" s="1"/>
  <c r="X64" i="20"/>
  <c r="Y64" i="20"/>
  <c r="Z64" i="20"/>
  <c r="AA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C66" i="20"/>
  <c r="D66" i="20"/>
  <c r="AA66" i="20"/>
  <c r="B67" i="20"/>
  <c r="B69" i="20" s="1"/>
  <c r="C67" i="20"/>
  <c r="C69" i="20" s="1"/>
  <c r="D67" i="20"/>
  <c r="E67" i="20"/>
  <c r="E68" i="20" s="1"/>
  <c r="F67" i="20"/>
  <c r="F68" i="20" s="1"/>
  <c r="G67" i="20"/>
  <c r="H67" i="20"/>
  <c r="H68" i="20" s="1"/>
  <c r="I67" i="20"/>
  <c r="I68" i="20" s="1"/>
  <c r="K67" i="20"/>
  <c r="L67" i="20"/>
  <c r="M67" i="20"/>
  <c r="N67" i="20"/>
  <c r="N69" i="20" s="1"/>
  <c r="O67" i="20"/>
  <c r="O69" i="20" s="1"/>
  <c r="P67" i="20"/>
  <c r="S67" i="20"/>
  <c r="T67" i="20"/>
  <c r="U67" i="20"/>
  <c r="V67" i="20"/>
  <c r="W67" i="20"/>
  <c r="X67" i="20"/>
  <c r="X68" i="20" s="1"/>
  <c r="Y67" i="20"/>
  <c r="Y68" i="20" s="1"/>
  <c r="Z67" i="20"/>
  <c r="AA67" i="20"/>
  <c r="AA69" i="20" s="1"/>
  <c r="G68" i="20"/>
  <c r="S68" i="20"/>
  <c r="T68" i="20"/>
  <c r="V68" i="20"/>
  <c r="E69" i="20"/>
  <c r="G69" i="20"/>
  <c r="S69" i="20"/>
  <c r="T69" i="20"/>
  <c r="V69" i="20"/>
  <c r="X69" i="20"/>
  <c r="B72" i="20"/>
  <c r="C72" i="20"/>
  <c r="D72" i="20"/>
  <c r="E72" i="20"/>
  <c r="F72" i="20"/>
  <c r="G72" i="20"/>
  <c r="H72" i="20"/>
  <c r="I72" i="20"/>
  <c r="K72" i="20"/>
  <c r="M72" i="20"/>
  <c r="O72" i="20"/>
  <c r="P72" i="20"/>
  <c r="Q72" i="20"/>
  <c r="R72" i="20"/>
  <c r="U72" i="20"/>
  <c r="W72" i="20"/>
  <c r="Y72" i="20"/>
  <c r="Z72" i="20"/>
  <c r="AA72" i="20"/>
  <c r="U73" i="20"/>
  <c r="B75" i="20"/>
  <c r="C75" i="20"/>
  <c r="C77" i="20" s="1"/>
  <c r="D75" i="20"/>
  <c r="F75" i="20"/>
  <c r="H75" i="20"/>
  <c r="I75" i="20"/>
  <c r="J75" i="20"/>
  <c r="K75" i="20"/>
  <c r="O75" i="20"/>
  <c r="O77" i="20" s="1"/>
  <c r="R75" i="20"/>
  <c r="R77" i="20" s="1"/>
  <c r="U75" i="20"/>
  <c r="U77" i="20" s="1"/>
  <c r="W75" i="20"/>
  <c r="X75" i="20"/>
  <c r="Y75" i="20"/>
  <c r="Z75" i="20"/>
  <c r="Z77" i="20" s="1"/>
  <c r="AA75" i="20"/>
  <c r="AA77" i="20" s="1"/>
  <c r="F77" i="20"/>
  <c r="I80" i="20"/>
  <c r="U80" i="20"/>
  <c r="X80" i="20"/>
  <c r="B81" i="20"/>
  <c r="C81" i="20"/>
  <c r="D81" i="20"/>
  <c r="E81" i="20"/>
  <c r="F81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Q112" i="11"/>
  <c r="S15" i="20" l="1"/>
  <c r="Y29" i="21"/>
  <c r="Y24" i="21"/>
  <c r="S52" i="20"/>
  <c r="S53" i="20" s="1"/>
  <c r="G22" i="21"/>
  <c r="H22" i="21"/>
  <c r="V72" i="20"/>
  <c r="V25" i="20"/>
  <c r="V28" i="20" s="1"/>
  <c r="V75" i="20"/>
  <c r="AB167" i="21"/>
  <c r="V36" i="20" s="1"/>
  <c r="Y77" i="20"/>
  <c r="U82" i="20"/>
  <c r="J60" i="20"/>
  <c r="P58" i="21"/>
  <c r="P71" i="21" s="1"/>
  <c r="J63" i="20"/>
  <c r="J66" i="20" s="1"/>
  <c r="P52" i="21"/>
  <c r="J67" i="20"/>
  <c r="X77" i="20"/>
  <c r="K63" i="20"/>
  <c r="K66" i="20" s="1"/>
  <c r="F6" i="20"/>
  <c r="M69" i="20"/>
  <c r="M68" i="20"/>
  <c r="S50" i="20"/>
  <c r="S51" i="20" s="1"/>
  <c r="G50" i="20"/>
  <c r="G51" i="20" s="1"/>
  <c r="P7" i="20"/>
  <c r="Q7" i="20"/>
  <c r="V101" i="21"/>
  <c r="Q20" i="20"/>
  <c r="D7" i="20"/>
  <c r="E7" i="20"/>
  <c r="J101" i="21"/>
  <c r="F29" i="21"/>
  <c r="F24" i="21"/>
  <c r="AE22" i="21"/>
  <c r="AS21" i="21" s="1"/>
  <c r="AF22" i="21"/>
  <c r="Y57" i="20"/>
  <c r="S22" i="21"/>
  <c r="T22" i="21"/>
  <c r="M57" i="20"/>
  <c r="E169" i="21"/>
  <c r="F168" i="21" s="1"/>
  <c r="F169" i="21" s="1"/>
  <c r="G168" i="21" s="1"/>
  <c r="G169" i="21" s="1"/>
  <c r="H168" i="21" s="1"/>
  <c r="H169" i="21" s="1"/>
  <c r="I168" i="21" s="1"/>
  <c r="W77" i="20"/>
  <c r="L69" i="20"/>
  <c r="L68" i="20"/>
  <c r="AA10" i="20"/>
  <c r="K77" i="20"/>
  <c r="K69" i="20"/>
  <c r="O10" i="20"/>
  <c r="X10" i="20"/>
  <c r="I77" i="20"/>
  <c r="J77" i="20"/>
  <c r="AP62" i="21"/>
  <c r="AM62" i="21"/>
  <c r="T15" i="20"/>
  <c r="Z24" i="21"/>
  <c r="Z29" i="21"/>
  <c r="T52" i="20"/>
  <c r="T53" i="20" s="1"/>
  <c r="T33" i="21"/>
  <c r="T30" i="21"/>
  <c r="N16" i="20"/>
  <c r="M50" i="20"/>
  <c r="M51" i="20" s="1"/>
  <c r="X17" i="20"/>
  <c r="K68" i="20"/>
  <c r="Q66" i="20"/>
  <c r="C28" i="20"/>
  <c r="C31" i="20" s="1"/>
  <c r="X7" i="20"/>
  <c r="Q167" i="21"/>
  <c r="K36" i="20" s="1"/>
  <c r="J72" i="20"/>
  <c r="P167" i="21"/>
  <c r="J36" i="20" s="1"/>
  <c r="Z92" i="21"/>
  <c r="Z101" i="21" s="1"/>
  <c r="N92" i="21"/>
  <c r="N101" i="21" s="1"/>
  <c r="B29" i="21"/>
  <c r="AA7" i="20"/>
  <c r="AF101" i="21"/>
  <c r="O7" i="20"/>
  <c r="T101" i="21"/>
  <c r="O20" i="20"/>
  <c r="AD34" i="21"/>
  <c r="AD37" i="21"/>
  <c r="X4" i="20"/>
  <c r="X73" i="20"/>
  <c r="X76" i="20" s="1"/>
  <c r="X23" i="21"/>
  <c r="S25" i="20"/>
  <c r="S28" i="20" s="1"/>
  <c r="S31" i="20" s="1"/>
  <c r="S75" i="20"/>
  <c r="S77" i="20" s="1"/>
  <c r="V167" i="21"/>
  <c r="P36" i="20" s="1"/>
  <c r="P25" i="20"/>
  <c r="AE101" i="21"/>
  <c r="Y7" i="20"/>
  <c r="G101" i="21"/>
  <c r="B20" i="20"/>
  <c r="V66" i="20"/>
  <c r="R47" i="20"/>
  <c r="R48" i="20" s="1"/>
  <c r="U24" i="21"/>
  <c r="O52" i="20"/>
  <c r="O53" i="20" s="1"/>
  <c r="V23" i="21"/>
  <c r="P47" i="20"/>
  <c r="P48" i="20" s="1"/>
  <c r="V11" i="21"/>
  <c r="S66" i="20"/>
  <c r="Z17" i="20"/>
  <c r="Q25" i="20"/>
  <c r="Q28" i="20" s="1"/>
  <c r="Q75" i="20"/>
  <c r="Q77" i="20" s="1"/>
  <c r="T167" i="21"/>
  <c r="N36" i="20" s="1"/>
  <c r="N25" i="20"/>
  <c r="N28" i="20" s="1"/>
  <c r="N37" i="20" s="1"/>
  <c r="N72" i="20"/>
  <c r="L82" i="20"/>
  <c r="R34" i="21"/>
  <c r="L73" i="20"/>
  <c r="D30" i="21"/>
  <c r="D33" i="21"/>
  <c r="AS8" i="21"/>
  <c r="M28" i="20"/>
  <c r="Z7" i="20"/>
  <c r="W11" i="21"/>
  <c r="I69" i="20"/>
  <c r="C7" i="20"/>
  <c r="C10" i="20" s="1"/>
  <c r="H101" i="21"/>
  <c r="Z19" i="20"/>
  <c r="Z20" i="20" s="1"/>
  <c r="Z21" i="20" s="1"/>
  <c r="Z167" i="21"/>
  <c r="T36" i="20" s="1"/>
  <c r="I66" i="20"/>
  <c r="Y167" i="21"/>
  <c r="S36" i="20" s="1"/>
  <c r="AF37" i="21"/>
  <c r="AF34" i="21"/>
  <c r="J23" i="21"/>
  <c r="D47" i="20"/>
  <c r="D48" i="20" s="1"/>
  <c r="T75" i="20"/>
  <c r="T77" i="20" s="1"/>
  <c r="U66" i="20"/>
  <c r="D6" i="20"/>
  <c r="D10" i="20" s="1"/>
  <c r="K19" i="20"/>
  <c r="K20" i="20" s="1"/>
  <c r="K7" i="20"/>
  <c r="U68" i="20"/>
  <c r="U69" i="20"/>
  <c r="AA28" i="20"/>
  <c r="AA37" i="20" s="1"/>
  <c r="B7" i="20"/>
  <c r="B10" i="20" s="1"/>
  <c r="S167" i="21"/>
  <c r="M36" i="20" s="1"/>
  <c r="L25" i="20"/>
  <c r="L72" i="20"/>
  <c r="L74" i="20" s="1"/>
  <c r="R167" i="21"/>
  <c r="L36" i="20" s="1"/>
  <c r="AE71" i="21"/>
  <c r="Z6" i="20" s="1"/>
  <c r="Z9" i="20" s="1"/>
  <c r="M22" i="21"/>
  <c r="M23" i="21"/>
  <c r="N22" i="21"/>
  <c r="AL21" i="21"/>
  <c r="AA9" i="20"/>
  <c r="L10" i="20"/>
  <c r="X58" i="21"/>
  <c r="X71" i="21" s="1"/>
  <c r="S6" i="20" s="1"/>
  <c r="X52" i="21"/>
  <c r="O36" i="21"/>
  <c r="I4" i="20"/>
  <c r="I12" i="20" s="1"/>
  <c r="O34" i="21"/>
  <c r="O37" i="21"/>
  <c r="U29" i="21"/>
  <c r="L23" i="21"/>
  <c r="N75" i="20"/>
  <c r="N77" i="20" s="1"/>
  <c r="Z73" i="20"/>
  <c r="I73" i="20"/>
  <c r="I76" i="20" s="1"/>
  <c r="T72" i="20"/>
  <c r="H69" i="20"/>
  <c r="R67" i="20"/>
  <c r="Y66" i="20"/>
  <c r="M66" i="20"/>
  <c r="O66" i="20"/>
  <c r="W57" i="20"/>
  <c r="K57" i="20"/>
  <c r="O50" i="20"/>
  <c r="O51" i="20" s="1"/>
  <c r="Z31" i="20"/>
  <c r="Y25" i="20"/>
  <c r="Y28" i="20" s="1"/>
  <c r="AE167" i="21"/>
  <c r="Y36" i="20" s="1"/>
  <c r="G25" i="20"/>
  <c r="G28" i="20" s="1"/>
  <c r="G37" i="20" s="1"/>
  <c r="M167" i="21"/>
  <c r="G36" i="20" s="1"/>
  <c r="G75" i="20"/>
  <c r="G77" i="20" s="1"/>
  <c r="W58" i="21"/>
  <c r="W71" i="21" s="1"/>
  <c r="R63" i="20"/>
  <c r="Q67" i="20"/>
  <c r="Q69" i="20" s="1"/>
  <c r="K23" i="21"/>
  <c r="L80" i="20"/>
  <c r="M75" i="20"/>
  <c r="S72" i="20"/>
  <c r="U28" i="20"/>
  <c r="U37" i="20" s="1"/>
  <c r="W6" i="20"/>
  <c r="W10" i="20" s="1"/>
  <c r="Z4" i="20"/>
  <c r="J167" i="21"/>
  <c r="D36" i="20" s="1"/>
  <c r="X25" i="20"/>
  <c r="X28" i="20" s="1"/>
  <c r="X72" i="20"/>
  <c r="O167" i="21"/>
  <c r="I36" i="20" s="1"/>
  <c r="S7" i="20"/>
  <c r="R19" i="20"/>
  <c r="R20" i="20" s="1"/>
  <c r="G7" i="20"/>
  <c r="F7" i="20"/>
  <c r="I24" i="21"/>
  <c r="C52" i="20"/>
  <c r="C53" i="20" s="1"/>
  <c r="I29" i="21"/>
  <c r="AB23" i="21"/>
  <c r="V47" i="20"/>
  <c r="V48" i="20" s="1"/>
  <c r="P23" i="21"/>
  <c r="J47" i="20"/>
  <c r="J48" i="20" s="1"/>
  <c r="P11" i="21"/>
  <c r="S101" i="21"/>
  <c r="AG33" i="21"/>
  <c r="AG30" i="21"/>
  <c r="AA16" i="20"/>
  <c r="AA17" i="20" s="1"/>
  <c r="W29" i="21"/>
  <c r="W24" i="21"/>
  <c r="Q52" i="20"/>
  <c r="Q53" i="20" s="1"/>
  <c r="W68" i="20"/>
  <c r="W69" i="20"/>
  <c r="AA36" i="21"/>
  <c r="U4" i="20"/>
  <c r="U12" i="20" s="1"/>
  <c r="AA34" i="21"/>
  <c r="Z80" i="20"/>
  <c r="H77" i="20"/>
  <c r="L75" i="20"/>
  <c r="L76" i="20" s="1"/>
  <c r="F69" i="20"/>
  <c r="C37" i="20"/>
  <c r="I31" i="20"/>
  <c r="N20" i="20"/>
  <c r="O15" i="20"/>
  <c r="X9" i="20"/>
  <c r="L9" i="20"/>
  <c r="AG167" i="21"/>
  <c r="AA36" i="20" s="1"/>
  <c r="I167" i="21"/>
  <c r="C36" i="20" s="1"/>
  <c r="H24" i="21"/>
  <c r="B50" i="20"/>
  <c r="B51" i="20" s="1"/>
  <c r="H29" i="21"/>
  <c r="T24" i="21"/>
  <c r="N15" i="20"/>
  <c r="AP6" i="21"/>
  <c r="R66" i="20"/>
  <c r="T50" i="20"/>
  <c r="T51" i="20" s="1"/>
  <c r="R28" i="20"/>
  <c r="I17" i="20"/>
  <c r="I21" i="20" s="1"/>
  <c r="H16" i="20"/>
  <c r="N33" i="21"/>
  <c r="X22" i="21"/>
  <c r="AP21" i="21" s="1"/>
  <c r="L22" i="21"/>
  <c r="AJ21" i="21" s="1"/>
  <c r="AO21" i="21"/>
  <c r="W22" i="21"/>
  <c r="Z66" i="20"/>
  <c r="N66" i="20"/>
  <c r="P66" i="20"/>
  <c r="P28" i="20"/>
  <c r="P37" i="20" s="1"/>
  <c r="U167" i="21"/>
  <c r="O36" i="20" s="1"/>
  <c r="U6" i="20"/>
  <c r="U10" i="20" s="1"/>
  <c r="N30" i="21"/>
  <c r="AE11" i="21"/>
  <c r="AE23" i="21"/>
  <c r="S11" i="21"/>
  <c r="S23" i="21"/>
  <c r="G11" i="21"/>
  <c r="G23" i="21"/>
  <c r="AS6" i="21"/>
  <c r="AS62" i="21"/>
  <c r="C36" i="21"/>
  <c r="C34" i="21"/>
  <c r="H15" i="20"/>
  <c r="H17" i="20" s="1"/>
  <c r="H21" i="20" s="1"/>
  <c r="N24" i="21"/>
  <c r="AM8" i="21"/>
  <c r="Q6" i="20"/>
  <c r="Q9" i="20" s="1"/>
  <c r="E6" i="20"/>
  <c r="E10" i="20" s="1"/>
  <c r="AJ62" i="21"/>
  <c r="R24" i="21"/>
  <c r="B28" i="20"/>
  <c r="Y19" i="20"/>
  <c r="Y20" i="20" s="1"/>
  <c r="M19" i="20"/>
  <c r="M20" i="20" s="1"/>
  <c r="U8" i="20"/>
  <c r="I8" i="20"/>
  <c r="AC23" i="21"/>
  <c r="Q23" i="21"/>
  <c r="E23" i="21"/>
  <c r="X20" i="20"/>
  <c r="L20" i="20"/>
  <c r="L21" i="20" s="1"/>
  <c r="W19" i="20"/>
  <c r="W20" i="20" s="1"/>
  <c r="M37" i="20"/>
  <c r="M31" i="20"/>
  <c r="J31" i="20"/>
  <c r="X21" i="20"/>
  <c r="U21" i="20"/>
  <c r="N68" i="20"/>
  <c r="Z69" i="20"/>
  <c r="Z68" i="20"/>
  <c r="L12" i="20"/>
  <c r="L8" i="20"/>
  <c r="T66" i="20"/>
  <c r="G66" i="20"/>
  <c r="F66" i="20"/>
  <c r="P10" i="20"/>
  <c r="F9" i="20"/>
  <c r="M77" i="20"/>
  <c r="O31" i="20"/>
  <c r="L28" i="20"/>
  <c r="L37" i="20" s="1"/>
  <c r="C35" i="20"/>
  <c r="O68" i="20"/>
  <c r="X12" i="20"/>
  <c r="X8" i="20"/>
  <c r="X11" i="20" s="1"/>
  <c r="G10" i="20"/>
  <c r="I11" i="20"/>
  <c r="Y69" i="20"/>
  <c r="H66" i="20"/>
  <c r="F10" i="20"/>
  <c r="T9" i="20"/>
  <c r="H9" i="20"/>
  <c r="B77" i="20"/>
  <c r="AA68" i="20"/>
  <c r="E66" i="20"/>
  <c r="T37" i="20"/>
  <c r="AA31" i="20"/>
  <c r="O37" i="20"/>
  <c r="U74" i="20"/>
  <c r="O9" i="20"/>
  <c r="L77" i="20"/>
  <c r="C68" i="20"/>
  <c r="Q68" i="20"/>
  <c r="W28" i="20"/>
  <c r="W37" i="20" s="1"/>
  <c r="K28" i="20"/>
  <c r="K37" i="20" s="1"/>
  <c r="U76" i="20"/>
  <c r="B68" i="20"/>
  <c r="P68" i="20"/>
  <c r="P69" i="20"/>
  <c r="D68" i="20"/>
  <c r="D69" i="20"/>
  <c r="F31" i="20"/>
  <c r="F37" i="20"/>
  <c r="R31" i="20"/>
  <c r="R37" i="20"/>
  <c r="J28" i="20"/>
  <c r="J37" i="20" s="1"/>
  <c r="I9" i="20"/>
  <c r="E31" i="20"/>
  <c r="Z10" i="20"/>
  <c r="N10" i="20"/>
  <c r="P9" i="20"/>
  <c r="D9" i="20"/>
  <c r="P31" i="20"/>
  <c r="D31" i="20"/>
  <c r="P77" i="20"/>
  <c r="D77" i="20"/>
  <c r="N9" i="20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K111" i="11"/>
  <c r="J111" i="11"/>
  <c r="I111" i="11"/>
  <c r="H111" i="11"/>
  <c r="G111" i="11"/>
  <c r="F111" i="11"/>
  <c r="M110" i="11"/>
  <c r="L110" i="11"/>
  <c r="K110" i="11"/>
  <c r="J110" i="11"/>
  <c r="I110" i="11"/>
  <c r="H110" i="11"/>
  <c r="O109" i="11"/>
  <c r="N109" i="11"/>
  <c r="M109" i="11"/>
  <c r="L109" i="11"/>
  <c r="K109" i="11"/>
  <c r="J109" i="11"/>
  <c r="Q111" i="11"/>
  <c r="P111" i="11"/>
  <c r="O111" i="11"/>
  <c r="N111" i="11"/>
  <c r="M111" i="11"/>
  <c r="L111" i="11"/>
  <c r="E111" i="11"/>
  <c r="D111" i="11"/>
  <c r="Q110" i="11"/>
  <c r="P110" i="11"/>
  <c r="O110" i="11"/>
  <c r="N110" i="11"/>
  <c r="G110" i="11"/>
  <c r="F110" i="11"/>
  <c r="E110" i="11"/>
  <c r="D110" i="11"/>
  <c r="Q109" i="11"/>
  <c r="P109" i="11"/>
  <c r="I109" i="11"/>
  <c r="H109" i="11"/>
  <c r="G109" i="11"/>
  <c r="F109" i="11"/>
  <c r="E109" i="11"/>
  <c r="D109" i="11"/>
  <c r="C111" i="11"/>
  <c r="C109" i="11"/>
  <c r="C110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B93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B94" i="11"/>
  <c r="C94" i="11"/>
  <c r="C93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Q91" i="11"/>
  <c r="S98" i="17" l="1"/>
  <c r="X37" i="20"/>
  <c r="X31" i="20"/>
  <c r="V37" i="20"/>
  <c r="V31" i="20"/>
  <c r="AA22" i="20"/>
  <c r="AA21" i="20"/>
  <c r="S9" i="20"/>
  <c r="S10" i="20"/>
  <c r="Q37" i="20"/>
  <c r="Q31" i="20"/>
  <c r="D50" i="20"/>
  <c r="D51" i="20" s="1"/>
  <c r="D52" i="20"/>
  <c r="D53" i="20" s="1"/>
  <c r="D15" i="20"/>
  <c r="J24" i="21"/>
  <c r="J29" i="21"/>
  <c r="V24" i="21"/>
  <c r="P15" i="20"/>
  <c r="P50" i="20"/>
  <c r="P51" i="20" s="1"/>
  <c r="V29" i="21"/>
  <c r="P52" i="20"/>
  <c r="P53" i="20" s="1"/>
  <c r="AE24" i="21"/>
  <c r="Y15" i="20"/>
  <c r="AE29" i="21"/>
  <c r="Y52" i="20"/>
  <c r="Y53" i="20" s="1"/>
  <c r="H33" i="21"/>
  <c r="B16" i="20"/>
  <c r="B17" i="20" s="1"/>
  <c r="H30" i="21"/>
  <c r="Q16" i="20"/>
  <c r="Q17" i="20" s="1"/>
  <c r="Q21" i="20" s="1"/>
  <c r="W33" i="21"/>
  <c r="W30" i="21"/>
  <c r="Z82" i="20"/>
  <c r="N37" i="21"/>
  <c r="O39" i="21" s="1"/>
  <c r="H73" i="20"/>
  <c r="N34" i="21"/>
  <c r="H80" i="20"/>
  <c r="N36" i="21"/>
  <c r="H4" i="20"/>
  <c r="B31" i="20"/>
  <c r="B37" i="20"/>
  <c r="R15" i="20"/>
  <c r="X29" i="21"/>
  <c r="X24" i="21"/>
  <c r="R52" i="20"/>
  <c r="R53" i="20" s="1"/>
  <c r="I83" i="20"/>
  <c r="U9" i="20"/>
  <c r="U11" i="20" s="1"/>
  <c r="AG37" i="21"/>
  <c r="AG34" i="21"/>
  <c r="AA4" i="20"/>
  <c r="AA73" i="20"/>
  <c r="AA80" i="20"/>
  <c r="AA83" i="20" s="1"/>
  <c r="AA84" i="20" s="1"/>
  <c r="AA85" i="20" s="1"/>
  <c r="AG36" i="21"/>
  <c r="AG38" i="21" s="1"/>
  <c r="F15" i="20"/>
  <c r="L29" i="21"/>
  <c r="F50" i="20"/>
  <c r="F51" i="20" s="1"/>
  <c r="F52" i="20"/>
  <c r="F53" i="20" s="1"/>
  <c r="L24" i="21"/>
  <c r="G15" i="20"/>
  <c r="M29" i="21"/>
  <c r="G52" i="20"/>
  <c r="G53" i="20" s="1"/>
  <c r="M24" i="21"/>
  <c r="Y6" i="20"/>
  <c r="K6" i="20"/>
  <c r="J6" i="20"/>
  <c r="W9" i="20"/>
  <c r="U33" i="21"/>
  <c r="U30" i="21"/>
  <c r="O16" i="20"/>
  <c r="T37" i="21"/>
  <c r="T36" i="21"/>
  <c r="N4" i="20"/>
  <c r="N80" i="20"/>
  <c r="T34" i="21"/>
  <c r="N73" i="20"/>
  <c r="Z74" i="20"/>
  <c r="Z76" i="20"/>
  <c r="Y50" i="20"/>
  <c r="Y51" i="20" s="1"/>
  <c r="K29" i="21"/>
  <c r="K24" i="21"/>
  <c r="E15" i="20"/>
  <c r="E52" i="20"/>
  <c r="E53" i="20" s="1"/>
  <c r="E50" i="20"/>
  <c r="E51" i="20" s="1"/>
  <c r="S37" i="20"/>
  <c r="I22" i="20"/>
  <c r="O17" i="20"/>
  <c r="X74" i="20"/>
  <c r="D36" i="21"/>
  <c r="D38" i="21" s="1"/>
  <c r="D37" i="21"/>
  <c r="D39" i="21" s="1"/>
  <c r="D34" i="21"/>
  <c r="T16" i="20"/>
  <c r="Z33" i="21"/>
  <c r="Z30" i="21"/>
  <c r="Q10" i="20"/>
  <c r="J68" i="20"/>
  <c r="J69" i="20"/>
  <c r="G31" i="20"/>
  <c r="I82" i="20"/>
  <c r="X82" i="20"/>
  <c r="I74" i="20"/>
  <c r="E24" i="21"/>
  <c r="E29" i="21"/>
  <c r="G24" i="21"/>
  <c r="G29" i="21"/>
  <c r="J15" i="20"/>
  <c r="J52" i="20"/>
  <c r="J53" i="20" s="1"/>
  <c r="P29" i="21"/>
  <c r="J50" i="20"/>
  <c r="J51" i="20" s="1"/>
  <c r="P24" i="21"/>
  <c r="I33" i="21"/>
  <c r="C16" i="20"/>
  <c r="C17" i="20" s="1"/>
  <c r="I30" i="21"/>
  <c r="E9" i="20"/>
  <c r="V77" i="20"/>
  <c r="B33" i="21"/>
  <c r="B30" i="21"/>
  <c r="Y31" i="20"/>
  <c r="Y37" i="20"/>
  <c r="AM21" i="21"/>
  <c r="L11" i="20"/>
  <c r="R50" i="20"/>
  <c r="R51" i="20" s="1"/>
  <c r="I169" i="21"/>
  <c r="J168" i="21" s="1"/>
  <c r="J169" i="21" s="1"/>
  <c r="K168" i="21" s="1"/>
  <c r="K169" i="21" s="1"/>
  <c r="L168" i="21" s="1"/>
  <c r="L169" i="21" s="1"/>
  <c r="M168" i="21" s="1"/>
  <c r="M169" i="21" s="1"/>
  <c r="N168" i="21" s="1"/>
  <c r="N169" i="21" s="1"/>
  <c r="O168" i="21" s="1"/>
  <c r="O169" i="21" s="1"/>
  <c r="P168" i="21" s="1"/>
  <c r="P169" i="21" s="1"/>
  <c r="Q168" i="21" s="1"/>
  <c r="Q169" i="21" s="1"/>
  <c r="R168" i="21" s="1"/>
  <c r="R169" i="21" s="1"/>
  <c r="S168" i="21" s="1"/>
  <c r="S169" i="21" s="1"/>
  <c r="T168" i="21" s="1"/>
  <c r="T169" i="21" s="1"/>
  <c r="U168" i="21" s="1"/>
  <c r="U169" i="21" s="1"/>
  <c r="V168" i="21" s="1"/>
  <c r="V169" i="21" s="1"/>
  <c r="W168" i="21" s="1"/>
  <c r="W169" i="21" s="1"/>
  <c r="X168" i="21" s="1"/>
  <c r="X169" i="21" s="1"/>
  <c r="Y168" i="21" s="1"/>
  <c r="Y169" i="21" s="1"/>
  <c r="Z168" i="21" s="1"/>
  <c r="Z169" i="21" s="1"/>
  <c r="AA168" i="21" s="1"/>
  <c r="AA169" i="21" s="1"/>
  <c r="AB168" i="21" s="1"/>
  <c r="AB169" i="21" s="1"/>
  <c r="AC168" i="21" s="1"/>
  <c r="AC169" i="21" s="1"/>
  <c r="AD168" i="21" s="1"/>
  <c r="AD169" i="21" s="1"/>
  <c r="AE168" i="21" s="1"/>
  <c r="AE169" i="21" s="1"/>
  <c r="AF168" i="21" s="1"/>
  <c r="AF169" i="21" s="1"/>
  <c r="AG168" i="21" s="1"/>
  <c r="AG169" i="21" s="1"/>
  <c r="F33" i="21"/>
  <c r="F30" i="21"/>
  <c r="N31" i="20"/>
  <c r="K15" i="20"/>
  <c r="Q29" i="21"/>
  <c r="K50" i="20"/>
  <c r="K51" i="20" s="1"/>
  <c r="K52" i="20"/>
  <c r="K53" i="20" s="1"/>
  <c r="Q24" i="21"/>
  <c r="R6" i="20"/>
  <c r="O38" i="21"/>
  <c r="T17" i="20"/>
  <c r="Y33" i="21"/>
  <c r="Y30" i="21"/>
  <c r="S16" i="20"/>
  <c r="S17" i="20" s="1"/>
  <c r="AC24" i="21"/>
  <c r="W50" i="20"/>
  <c r="W51" i="20" s="1"/>
  <c r="AC29" i="21"/>
  <c r="W15" i="20"/>
  <c r="W52" i="20"/>
  <c r="W53" i="20" s="1"/>
  <c r="S24" i="21"/>
  <c r="M15" i="20"/>
  <c r="S29" i="21"/>
  <c r="M52" i="20"/>
  <c r="M53" i="20" s="1"/>
  <c r="N17" i="20"/>
  <c r="U31" i="20"/>
  <c r="V15" i="20"/>
  <c r="V50" i="20"/>
  <c r="V51" i="20" s="1"/>
  <c r="AB29" i="21"/>
  <c r="AB24" i="21"/>
  <c r="V52" i="20"/>
  <c r="V53" i="20" s="1"/>
  <c r="Z12" i="20"/>
  <c r="Z8" i="20"/>
  <c r="Z11" i="20" s="1"/>
  <c r="R68" i="20"/>
  <c r="R69" i="20"/>
  <c r="L31" i="20"/>
  <c r="K31" i="20"/>
  <c r="W31" i="20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Q43" i="17"/>
  <c r="P43" i="17"/>
  <c r="O43" i="17"/>
  <c r="N43" i="17"/>
  <c r="M43" i="17"/>
  <c r="L43" i="17"/>
  <c r="K43" i="17"/>
  <c r="J43" i="17"/>
  <c r="I43" i="17"/>
  <c r="D43" i="17"/>
  <c r="C43" i="17"/>
  <c r="B43" i="17"/>
  <c r="H37" i="17"/>
  <c r="H43" i="17" s="1"/>
  <c r="G37" i="17"/>
  <c r="G43" i="17" s="1"/>
  <c r="F37" i="17"/>
  <c r="F43" i="17" s="1"/>
  <c r="E37" i="17"/>
  <c r="E43" i="17" s="1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Q82" i="11"/>
  <c r="Q83" i="11" s="1"/>
  <c r="P82" i="11"/>
  <c r="P83" i="11" s="1"/>
  <c r="O82" i="11"/>
  <c r="O83" i="11" s="1"/>
  <c r="N82" i="11"/>
  <c r="N83" i="11" s="1"/>
  <c r="M82" i="11"/>
  <c r="L82" i="11"/>
  <c r="K82" i="11"/>
  <c r="J82" i="11"/>
  <c r="I82" i="11"/>
  <c r="H82" i="11"/>
  <c r="G82" i="11"/>
  <c r="F82" i="11"/>
  <c r="E82" i="11"/>
  <c r="E83" i="11" s="1"/>
  <c r="D82" i="11"/>
  <c r="D83" i="11" s="1"/>
  <c r="C82" i="11"/>
  <c r="C83" i="11" s="1"/>
  <c r="B82" i="11"/>
  <c r="B83" i="11" s="1"/>
  <c r="Q74" i="11"/>
  <c r="P74" i="11"/>
  <c r="O74" i="11"/>
  <c r="N74" i="11"/>
  <c r="E74" i="11"/>
  <c r="D74" i="11"/>
  <c r="C74" i="11"/>
  <c r="B74" i="11"/>
  <c r="Q73" i="11"/>
  <c r="P73" i="11"/>
  <c r="O73" i="11"/>
  <c r="N73" i="11"/>
  <c r="M73" i="11"/>
  <c r="M74" i="11" s="1"/>
  <c r="L73" i="11"/>
  <c r="L74" i="11" s="1"/>
  <c r="K73" i="11"/>
  <c r="K74" i="11" s="1"/>
  <c r="J73" i="11"/>
  <c r="J74" i="11" s="1"/>
  <c r="I73" i="11"/>
  <c r="I74" i="11" s="1"/>
  <c r="I83" i="11" s="1"/>
  <c r="H73" i="11"/>
  <c r="H74" i="11" s="1"/>
  <c r="H83" i="11" s="1"/>
  <c r="G73" i="11"/>
  <c r="G74" i="11" s="1"/>
  <c r="G83" i="11" s="1"/>
  <c r="F73" i="11"/>
  <c r="F74" i="11" s="1"/>
  <c r="F83" i="11" s="1"/>
  <c r="E73" i="11"/>
  <c r="D73" i="11"/>
  <c r="C73" i="11"/>
  <c r="B73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Q53" i="11"/>
  <c r="P53" i="11"/>
  <c r="O53" i="11"/>
  <c r="N53" i="11"/>
  <c r="D53" i="11"/>
  <c r="C53" i="11"/>
  <c r="B53" i="11"/>
  <c r="Q52" i="11"/>
  <c r="P52" i="11"/>
  <c r="O52" i="11"/>
  <c r="N52" i="11"/>
  <c r="M52" i="11"/>
  <c r="M53" i="11" s="1"/>
  <c r="L52" i="11"/>
  <c r="L53" i="11" s="1"/>
  <c r="K52" i="11"/>
  <c r="K53" i="11" s="1"/>
  <c r="J52" i="11"/>
  <c r="J53" i="11" s="1"/>
  <c r="I52" i="11"/>
  <c r="I53" i="11" s="1"/>
  <c r="H52" i="11"/>
  <c r="G52" i="11"/>
  <c r="F52" i="11"/>
  <c r="E52" i="11"/>
  <c r="D52" i="11"/>
  <c r="C52" i="11"/>
  <c r="B52" i="11"/>
  <c r="Q43" i="11"/>
  <c r="P43" i="11"/>
  <c r="O43" i="11"/>
  <c r="N43" i="11"/>
  <c r="M43" i="11"/>
  <c r="L43" i="11"/>
  <c r="K43" i="11"/>
  <c r="J43" i="11"/>
  <c r="I43" i="11"/>
  <c r="D43" i="11"/>
  <c r="C43" i="11"/>
  <c r="B43" i="11"/>
  <c r="H37" i="11"/>
  <c r="H43" i="11" s="1"/>
  <c r="G37" i="11"/>
  <c r="G43" i="11" s="1"/>
  <c r="F37" i="11"/>
  <c r="F43" i="11" s="1"/>
  <c r="E37" i="11"/>
  <c r="E43" i="11" s="1"/>
  <c r="E53" i="11" s="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Q12" i="11"/>
  <c r="Q19" i="11" s="1"/>
  <c r="Q24" i="11" s="1"/>
  <c r="Q27" i="11" s="1"/>
  <c r="P12" i="11"/>
  <c r="P19" i="11" s="1"/>
  <c r="P24" i="11" s="1"/>
  <c r="P27" i="11" s="1"/>
  <c r="O12" i="11"/>
  <c r="O19" i="11" s="1"/>
  <c r="O24" i="11" s="1"/>
  <c r="O27" i="11" s="1"/>
  <c r="N12" i="11"/>
  <c r="N19" i="11" s="1"/>
  <c r="N24" i="11" s="1"/>
  <c r="N27" i="11" s="1"/>
  <c r="M12" i="11"/>
  <c r="M19" i="11" s="1"/>
  <c r="M24" i="11" s="1"/>
  <c r="M27" i="11" s="1"/>
  <c r="L12" i="11"/>
  <c r="L19" i="11" s="1"/>
  <c r="L24" i="11" s="1"/>
  <c r="L27" i="11" s="1"/>
  <c r="K12" i="11"/>
  <c r="K19" i="11" s="1"/>
  <c r="K24" i="11" s="1"/>
  <c r="K27" i="11" s="1"/>
  <c r="J12" i="11"/>
  <c r="J19" i="11" s="1"/>
  <c r="J24" i="11" s="1"/>
  <c r="J27" i="11" s="1"/>
  <c r="I12" i="11"/>
  <c r="H12" i="11"/>
  <c r="G12" i="11"/>
  <c r="F12" i="11"/>
  <c r="E12" i="11"/>
  <c r="D12" i="11"/>
  <c r="C12" i="11"/>
  <c r="B12" i="11"/>
  <c r="Q157" i="19"/>
  <c r="P157" i="19"/>
  <c r="O157" i="19"/>
  <c r="N157" i="19"/>
  <c r="M157" i="19"/>
  <c r="K157" i="19"/>
  <c r="J157" i="19"/>
  <c r="I157" i="19"/>
  <c r="H157" i="19"/>
  <c r="G157" i="19"/>
  <c r="F157" i="19"/>
  <c r="E157" i="19"/>
  <c r="D157" i="19"/>
  <c r="C157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Q101" i="19"/>
  <c r="P101" i="19"/>
  <c r="O101" i="19"/>
  <c r="N101" i="19"/>
  <c r="M101" i="19"/>
  <c r="L101" i="19"/>
  <c r="K101" i="19"/>
  <c r="J101" i="19"/>
  <c r="I101" i="19"/>
  <c r="H101" i="19"/>
  <c r="G101" i="19"/>
  <c r="F101" i="19"/>
  <c r="E101" i="19"/>
  <c r="D101" i="19"/>
  <c r="C101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Q92" i="19"/>
  <c r="P92" i="19"/>
  <c r="O9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Q160" i="19"/>
  <c r="P160" i="19"/>
  <c r="O160" i="19"/>
  <c r="N160" i="19"/>
  <c r="M160" i="19"/>
  <c r="L160" i="19"/>
  <c r="K160" i="19"/>
  <c r="J160" i="19"/>
  <c r="I160" i="19"/>
  <c r="H160" i="19"/>
  <c r="G160" i="19"/>
  <c r="F160" i="19"/>
  <c r="E160" i="19"/>
  <c r="D160" i="19"/>
  <c r="C160" i="19"/>
  <c r="Q159" i="19"/>
  <c r="P159" i="19"/>
  <c r="O159" i="19"/>
  <c r="N159" i="19"/>
  <c r="M159" i="19"/>
  <c r="L159" i="19"/>
  <c r="K159" i="19"/>
  <c r="J159" i="19"/>
  <c r="I159" i="19"/>
  <c r="H159" i="19"/>
  <c r="G159" i="19"/>
  <c r="F159" i="19"/>
  <c r="E159" i="19"/>
  <c r="D159" i="19"/>
  <c r="C159" i="19"/>
  <c r="Q158" i="19"/>
  <c r="P158" i="19"/>
  <c r="O158" i="19"/>
  <c r="N158" i="19"/>
  <c r="M158" i="19"/>
  <c r="L158" i="19"/>
  <c r="K158" i="19"/>
  <c r="J158" i="19"/>
  <c r="I158" i="19"/>
  <c r="H158" i="19"/>
  <c r="G158" i="19"/>
  <c r="F158" i="19"/>
  <c r="E158" i="19"/>
  <c r="D158" i="19"/>
  <c r="C158" i="19"/>
  <c r="L157" i="19"/>
  <c r="Q156" i="19"/>
  <c r="P156" i="19"/>
  <c r="O156" i="19"/>
  <c r="N156" i="19"/>
  <c r="M156" i="19"/>
  <c r="L156" i="19"/>
  <c r="K156" i="19"/>
  <c r="J156" i="19"/>
  <c r="I156" i="19"/>
  <c r="H156" i="19"/>
  <c r="G156" i="19"/>
  <c r="F156" i="19"/>
  <c r="E156" i="19"/>
  <c r="D156" i="19"/>
  <c r="C156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Q147" i="19"/>
  <c r="P147" i="19"/>
  <c r="O147" i="19"/>
  <c r="N147" i="19"/>
  <c r="M147" i="19"/>
  <c r="L147" i="19"/>
  <c r="K147" i="19"/>
  <c r="J147" i="19"/>
  <c r="I147" i="19"/>
  <c r="H147" i="19"/>
  <c r="G147" i="19"/>
  <c r="F147" i="19"/>
  <c r="E147" i="19"/>
  <c r="D147" i="19"/>
  <c r="C147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Q136" i="19"/>
  <c r="P136" i="19"/>
  <c r="O136" i="19"/>
  <c r="N136" i="19"/>
  <c r="M136" i="19"/>
  <c r="L136" i="19"/>
  <c r="K136" i="19"/>
  <c r="J136" i="19"/>
  <c r="I136" i="19"/>
  <c r="H136" i="19"/>
  <c r="G136" i="19"/>
  <c r="F136" i="19"/>
  <c r="E136" i="19"/>
  <c r="D136" i="19"/>
  <c r="C136" i="19"/>
  <c r="Q135" i="19"/>
  <c r="P135" i="19"/>
  <c r="O135" i="19"/>
  <c r="N135" i="19"/>
  <c r="M135" i="19"/>
  <c r="L135" i="19"/>
  <c r="K135" i="19"/>
  <c r="J135" i="19"/>
  <c r="I135" i="19"/>
  <c r="H135" i="19"/>
  <c r="G135" i="19"/>
  <c r="F135" i="19"/>
  <c r="E135" i="19"/>
  <c r="D135" i="19"/>
  <c r="C135" i="19"/>
  <c r="Q134" i="19"/>
  <c r="P134" i="19"/>
  <c r="O134" i="19"/>
  <c r="N134" i="19"/>
  <c r="M134" i="19"/>
  <c r="L134" i="19"/>
  <c r="K134" i="19"/>
  <c r="J134" i="19"/>
  <c r="I134" i="19"/>
  <c r="H134" i="19"/>
  <c r="G134" i="19"/>
  <c r="F134" i="19"/>
  <c r="E134" i="19"/>
  <c r="D134" i="19"/>
  <c r="C134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Q125" i="19"/>
  <c r="P125" i="19"/>
  <c r="O125" i="19"/>
  <c r="N125" i="19"/>
  <c r="M125" i="19"/>
  <c r="L125" i="19"/>
  <c r="K125" i="19"/>
  <c r="J125" i="19"/>
  <c r="I125" i="19"/>
  <c r="H125" i="19"/>
  <c r="G125" i="19"/>
  <c r="F125" i="19"/>
  <c r="E125" i="19"/>
  <c r="D125" i="19"/>
  <c r="C125" i="19"/>
  <c r="Q124" i="19"/>
  <c r="P124" i="19"/>
  <c r="O124" i="19"/>
  <c r="N124" i="19"/>
  <c r="M124" i="19"/>
  <c r="L124" i="19"/>
  <c r="K124" i="19"/>
  <c r="J124" i="19"/>
  <c r="I124" i="19"/>
  <c r="H124" i="19"/>
  <c r="G124" i="19"/>
  <c r="F124" i="19"/>
  <c r="E124" i="19"/>
  <c r="D124" i="19"/>
  <c r="C124" i="19"/>
  <c r="Q123" i="19"/>
  <c r="P123" i="19"/>
  <c r="O123" i="19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B160" i="19"/>
  <c r="B159" i="19"/>
  <c r="B158" i="19"/>
  <c r="B157" i="19"/>
  <c r="B156" i="19"/>
  <c r="B155" i="19"/>
  <c r="B154" i="19"/>
  <c r="B151" i="19"/>
  <c r="B150" i="19"/>
  <c r="B147" i="19"/>
  <c r="B143" i="19"/>
  <c r="B142" i="19"/>
  <c r="B141" i="19"/>
  <c r="B140" i="19"/>
  <c r="B137" i="19"/>
  <c r="B136" i="19"/>
  <c r="B135" i="19"/>
  <c r="B134" i="19"/>
  <c r="B130" i="19"/>
  <c r="B129" i="19"/>
  <c r="B128" i="19"/>
  <c r="B126" i="19"/>
  <c r="B125" i="19"/>
  <c r="B124" i="19"/>
  <c r="B123" i="19"/>
  <c r="B120" i="19"/>
  <c r="B119" i="19"/>
  <c r="B118" i="19"/>
  <c r="B116" i="19"/>
  <c r="B115" i="19"/>
  <c r="B114" i="19"/>
  <c r="B113" i="19"/>
  <c r="B112" i="19"/>
  <c r="B104" i="19"/>
  <c r="B103" i="19"/>
  <c r="B101" i="19"/>
  <c r="B96" i="19"/>
  <c r="B95" i="19"/>
  <c r="B94" i="19"/>
  <c r="B93" i="19"/>
  <c r="B92" i="19"/>
  <c r="B89" i="19"/>
  <c r="B88" i="19"/>
  <c r="B87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O70" i="19"/>
  <c r="E70" i="19"/>
  <c r="E79" i="19" s="1"/>
  <c r="D70" i="19"/>
  <c r="C70" i="19"/>
  <c r="B70" i="19"/>
  <c r="Q69" i="19"/>
  <c r="P69" i="19"/>
  <c r="O69" i="19"/>
  <c r="N69" i="19"/>
  <c r="M69" i="19"/>
  <c r="L69" i="19"/>
  <c r="K69" i="19"/>
  <c r="J69" i="19"/>
  <c r="I69" i="19"/>
  <c r="I70" i="19" s="1"/>
  <c r="I79" i="19" s="1"/>
  <c r="H69" i="19"/>
  <c r="H70" i="19" s="1"/>
  <c r="H79" i="19" s="1"/>
  <c r="G69" i="19"/>
  <c r="G70" i="19" s="1"/>
  <c r="G79" i="19" s="1"/>
  <c r="F69" i="19"/>
  <c r="F70" i="19" s="1"/>
  <c r="F79" i="19" s="1"/>
  <c r="E69" i="19"/>
  <c r="D69" i="19"/>
  <c r="C69" i="19"/>
  <c r="B69" i="19"/>
  <c r="Q62" i="19"/>
  <c r="Q70" i="19" s="1"/>
  <c r="Q79" i="19" s="1"/>
  <c r="P62" i="19"/>
  <c r="P70" i="19" s="1"/>
  <c r="O62" i="19"/>
  <c r="N62" i="19"/>
  <c r="N70" i="19" s="1"/>
  <c r="M62" i="19"/>
  <c r="M70" i="19" s="1"/>
  <c r="L62" i="19"/>
  <c r="K62" i="19"/>
  <c r="J62" i="19"/>
  <c r="I62" i="19"/>
  <c r="H62" i="19"/>
  <c r="G62" i="19"/>
  <c r="F62" i="19"/>
  <c r="E62" i="19"/>
  <c r="D62" i="19"/>
  <c r="C62" i="19"/>
  <c r="B62" i="19"/>
  <c r="Q49" i="19"/>
  <c r="P49" i="19"/>
  <c r="O49" i="19"/>
  <c r="N49" i="19"/>
  <c r="Q48" i="19"/>
  <c r="P48" i="19"/>
  <c r="O48" i="19"/>
  <c r="N48" i="19"/>
  <c r="M48" i="19"/>
  <c r="L48" i="19"/>
  <c r="L49" i="19" s="1"/>
  <c r="K48" i="19"/>
  <c r="K49" i="19" s="1"/>
  <c r="J48" i="19"/>
  <c r="J49" i="19" s="1"/>
  <c r="I48" i="19"/>
  <c r="I49" i="19" s="1"/>
  <c r="H48" i="19"/>
  <c r="G48" i="19"/>
  <c r="F48" i="19"/>
  <c r="E48" i="19"/>
  <c r="D48" i="19"/>
  <c r="D49" i="19" s="1"/>
  <c r="C48" i="19"/>
  <c r="C49" i="19" s="1"/>
  <c r="B48" i="19"/>
  <c r="B49" i="19" s="1"/>
  <c r="Q39" i="19"/>
  <c r="P39" i="19"/>
  <c r="O39" i="19"/>
  <c r="N39" i="19"/>
  <c r="M39" i="19"/>
  <c r="M49" i="19" s="1"/>
  <c r="L39" i="19"/>
  <c r="K39" i="19"/>
  <c r="J39" i="19"/>
  <c r="I39" i="19"/>
  <c r="D39" i="19"/>
  <c r="C39" i="19"/>
  <c r="B39" i="19"/>
  <c r="H33" i="19"/>
  <c r="H39" i="19" s="1"/>
  <c r="G33" i="19"/>
  <c r="G39" i="19" s="1"/>
  <c r="F33" i="19"/>
  <c r="F39" i="19" s="1"/>
  <c r="E33" i="19"/>
  <c r="E39" i="19" s="1"/>
  <c r="E49" i="19" s="1"/>
  <c r="Q29" i="19"/>
  <c r="P29" i="19"/>
  <c r="C29" i="19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Q14" i="19"/>
  <c r="Q15" i="19" s="1"/>
  <c r="Q20" i="19" s="1"/>
  <c r="Q23" i="19" s="1"/>
  <c r="P14" i="19"/>
  <c r="P15" i="19" s="1"/>
  <c r="P20" i="19" s="1"/>
  <c r="P23" i="19" s="1"/>
  <c r="O14" i="19"/>
  <c r="N14" i="19"/>
  <c r="M14" i="19"/>
  <c r="L14" i="19"/>
  <c r="K14" i="19"/>
  <c r="J14" i="19"/>
  <c r="I14" i="19"/>
  <c r="H14" i="19"/>
  <c r="G14" i="19"/>
  <c r="G15" i="19" s="1"/>
  <c r="G20" i="19" s="1"/>
  <c r="G23" i="19" s="1"/>
  <c r="F14" i="19"/>
  <c r="F15" i="19" s="1"/>
  <c r="F20" i="19" s="1"/>
  <c r="F23" i="19" s="1"/>
  <c r="E14" i="19"/>
  <c r="E15" i="19" s="1"/>
  <c r="E20" i="19" s="1"/>
  <c r="E23" i="19" s="1"/>
  <c r="D14" i="19"/>
  <c r="D15" i="19" s="1"/>
  <c r="D20" i="19" s="1"/>
  <c r="D23" i="19" s="1"/>
  <c r="C14" i="19"/>
  <c r="B14" i="19"/>
  <c r="Q8" i="19"/>
  <c r="P8" i="19"/>
  <c r="O8" i="19"/>
  <c r="O15" i="19" s="1"/>
  <c r="O20" i="19" s="1"/>
  <c r="O23" i="19" s="1"/>
  <c r="N8" i="19"/>
  <c r="N15" i="19" s="1"/>
  <c r="N20" i="19" s="1"/>
  <c r="N23" i="19" s="1"/>
  <c r="M8" i="19"/>
  <c r="M15" i="19" s="1"/>
  <c r="M20" i="19" s="1"/>
  <c r="M23" i="19" s="1"/>
  <c r="L8" i="19"/>
  <c r="L15" i="19" s="1"/>
  <c r="L20" i="19" s="1"/>
  <c r="L23" i="19" s="1"/>
  <c r="K8" i="19"/>
  <c r="K15" i="19" s="1"/>
  <c r="K20" i="19" s="1"/>
  <c r="K23" i="19" s="1"/>
  <c r="J8" i="19"/>
  <c r="I8" i="19"/>
  <c r="H8" i="19"/>
  <c r="G8" i="19"/>
  <c r="F8" i="19"/>
  <c r="E8" i="19"/>
  <c r="D8" i="19"/>
  <c r="C8" i="19"/>
  <c r="C15" i="19" s="1"/>
  <c r="C20" i="19" s="1"/>
  <c r="C23" i="19" s="1"/>
  <c r="B8" i="19"/>
  <c r="B15" i="19" s="1"/>
  <c r="B20" i="19" s="1"/>
  <c r="B23" i="19" s="1"/>
  <c r="C5" i="19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Q158" i="18"/>
  <c r="P158" i="18"/>
  <c r="O158" i="18"/>
  <c r="N158" i="18"/>
  <c r="M158" i="18"/>
  <c r="L158" i="18"/>
  <c r="K158" i="18"/>
  <c r="J158" i="18"/>
  <c r="I158" i="18"/>
  <c r="H158" i="18"/>
  <c r="G158" i="18"/>
  <c r="F158" i="18"/>
  <c r="E158" i="18"/>
  <c r="D158" i="18"/>
  <c r="C158" i="18"/>
  <c r="B158" i="18"/>
  <c r="Q157" i="18"/>
  <c r="P157" i="18"/>
  <c r="O157" i="18"/>
  <c r="N157" i="18"/>
  <c r="M157" i="18"/>
  <c r="L157" i="18"/>
  <c r="K157" i="18"/>
  <c r="J157" i="18"/>
  <c r="I157" i="18"/>
  <c r="H157" i="18"/>
  <c r="G157" i="18"/>
  <c r="F157" i="18"/>
  <c r="E157" i="18"/>
  <c r="D157" i="18"/>
  <c r="C157" i="18"/>
  <c r="B157" i="18"/>
  <c r="Q156" i="18"/>
  <c r="P156" i="18"/>
  <c r="O156" i="18"/>
  <c r="N156" i="18"/>
  <c r="M156" i="18"/>
  <c r="L156" i="18"/>
  <c r="K156" i="18"/>
  <c r="J156" i="18"/>
  <c r="I156" i="18"/>
  <c r="H156" i="18"/>
  <c r="G156" i="18"/>
  <c r="F156" i="18"/>
  <c r="E156" i="18"/>
  <c r="D156" i="18"/>
  <c r="C156" i="18"/>
  <c r="B156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Q147" i="18"/>
  <c r="P147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C147" i="18"/>
  <c r="B147" i="18"/>
  <c r="Q145" i="18"/>
  <c r="P145" i="18"/>
  <c r="O145" i="18"/>
  <c r="N145" i="18"/>
  <c r="M145" i="18"/>
  <c r="L145" i="18"/>
  <c r="K145" i="18"/>
  <c r="J145" i="18"/>
  <c r="I145" i="18"/>
  <c r="H145" i="18"/>
  <c r="G145" i="18"/>
  <c r="F145" i="18"/>
  <c r="E145" i="18"/>
  <c r="D145" i="18"/>
  <c r="C145" i="18"/>
  <c r="B145" i="18"/>
  <c r="P144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Q136" i="18"/>
  <c r="P136" i="18"/>
  <c r="O136" i="18"/>
  <c r="N136" i="18"/>
  <c r="M136" i="18"/>
  <c r="L136" i="18"/>
  <c r="K136" i="18"/>
  <c r="J136" i="18"/>
  <c r="I136" i="18"/>
  <c r="H136" i="18"/>
  <c r="G136" i="18"/>
  <c r="F136" i="18"/>
  <c r="E136" i="18"/>
  <c r="D136" i="18"/>
  <c r="C136" i="18"/>
  <c r="B136" i="18"/>
  <c r="Q135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B135" i="18"/>
  <c r="Q134" i="18"/>
  <c r="P134" i="18"/>
  <c r="O134" i="18"/>
  <c r="N134" i="18"/>
  <c r="M134" i="18"/>
  <c r="L134" i="18"/>
  <c r="K134" i="18"/>
  <c r="J134" i="18"/>
  <c r="I134" i="18"/>
  <c r="H134" i="18"/>
  <c r="G134" i="18"/>
  <c r="F134" i="18"/>
  <c r="E134" i="18"/>
  <c r="D134" i="18"/>
  <c r="C134" i="18"/>
  <c r="B134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Q131" i="18"/>
  <c r="P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O131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Q126" i="18"/>
  <c r="P126" i="18"/>
  <c r="O126" i="18"/>
  <c r="Q125" i="18"/>
  <c r="P125" i="18"/>
  <c r="O125" i="18"/>
  <c r="Q124" i="18"/>
  <c r="P124" i="18"/>
  <c r="O124" i="18"/>
  <c r="Q123" i="18"/>
  <c r="P123" i="18"/>
  <c r="O123" i="18"/>
  <c r="Q122" i="18"/>
  <c r="P122" i="18"/>
  <c r="O122" i="18"/>
  <c r="Q121" i="18"/>
  <c r="P121" i="18"/>
  <c r="O121" i="18"/>
  <c r="Q118" i="18"/>
  <c r="P118" i="18"/>
  <c r="O118" i="18"/>
  <c r="Q117" i="18"/>
  <c r="P117" i="18"/>
  <c r="O117" i="18"/>
  <c r="Q116" i="18"/>
  <c r="P116" i="18"/>
  <c r="O116" i="18"/>
  <c r="Q115" i="18"/>
  <c r="P115" i="18"/>
  <c r="O115" i="18"/>
  <c r="Q114" i="18"/>
  <c r="P114" i="18"/>
  <c r="O114" i="18"/>
  <c r="Q113" i="18"/>
  <c r="P113" i="18"/>
  <c r="O113" i="18"/>
  <c r="Q112" i="18"/>
  <c r="P112" i="18"/>
  <c r="O112" i="18"/>
  <c r="Q111" i="18"/>
  <c r="P111" i="18"/>
  <c r="O111" i="18"/>
  <c r="Q110" i="18"/>
  <c r="P110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N125" i="18"/>
  <c r="M125" i="18"/>
  <c r="L125" i="18"/>
  <c r="K125" i="18"/>
  <c r="J125" i="18"/>
  <c r="I125" i="18"/>
  <c r="H125" i="18"/>
  <c r="G125" i="18"/>
  <c r="F125" i="18"/>
  <c r="E125" i="18"/>
  <c r="D125" i="18"/>
  <c r="C125" i="18"/>
  <c r="B125" i="18"/>
  <c r="N124" i="18"/>
  <c r="M124" i="18"/>
  <c r="L124" i="18"/>
  <c r="K124" i="18"/>
  <c r="J124" i="18"/>
  <c r="I124" i="18"/>
  <c r="H124" i="18"/>
  <c r="G124" i="18"/>
  <c r="F124" i="18"/>
  <c r="E124" i="18"/>
  <c r="D124" i="18"/>
  <c r="C124" i="18"/>
  <c r="B124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B123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N114" i="18"/>
  <c r="M114" i="18"/>
  <c r="L114" i="18"/>
  <c r="K114" i="18"/>
  <c r="J114" i="18"/>
  <c r="I114" i="18"/>
  <c r="H114" i="18"/>
  <c r="G114" i="18"/>
  <c r="F114" i="18"/>
  <c r="E114" i="18"/>
  <c r="D114" i="18"/>
  <c r="C114" i="18"/>
  <c r="B114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B113" i="18"/>
  <c r="N112" i="18"/>
  <c r="M112" i="18"/>
  <c r="L112" i="18"/>
  <c r="K112" i="18"/>
  <c r="J112" i="18"/>
  <c r="I112" i="18"/>
  <c r="H112" i="18"/>
  <c r="G112" i="18"/>
  <c r="F112" i="18"/>
  <c r="E112" i="18"/>
  <c r="D112" i="18"/>
  <c r="C112" i="18"/>
  <c r="B112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O110" i="18"/>
  <c r="Q93" i="18"/>
  <c r="Q92" i="18"/>
  <c r="Q91" i="18"/>
  <c r="P93" i="18"/>
  <c r="P92" i="18"/>
  <c r="P91" i="18"/>
  <c r="O93" i="18"/>
  <c r="O92" i="18"/>
  <c r="Q89" i="18"/>
  <c r="Q90" i="18"/>
  <c r="P90" i="18"/>
  <c r="P89" i="18"/>
  <c r="O91" i="18"/>
  <c r="O90" i="18"/>
  <c r="O89" i="18"/>
  <c r="Q85" i="18"/>
  <c r="P85" i="18"/>
  <c r="O85" i="18"/>
  <c r="Q100" i="18"/>
  <c r="P100" i="18"/>
  <c r="O100" i="18"/>
  <c r="Q101" i="18"/>
  <c r="P101" i="18"/>
  <c r="O101" i="18"/>
  <c r="N97" i="18"/>
  <c r="L97" i="18"/>
  <c r="I97" i="18"/>
  <c r="H97" i="18"/>
  <c r="G97" i="18"/>
  <c r="N101" i="18"/>
  <c r="M101" i="18"/>
  <c r="L101" i="18"/>
  <c r="K101" i="18"/>
  <c r="J101" i="18"/>
  <c r="I101" i="18"/>
  <c r="H101" i="18"/>
  <c r="G101" i="18"/>
  <c r="F101" i="18"/>
  <c r="E101" i="18"/>
  <c r="D101" i="18"/>
  <c r="C101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M97" i="18"/>
  <c r="K97" i="18"/>
  <c r="J97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N91" i="18"/>
  <c r="M91" i="18"/>
  <c r="L91" i="18"/>
  <c r="K91" i="18"/>
  <c r="J91" i="18"/>
  <c r="I91" i="18"/>
  <c r="H91" i="18"/>
  <c r="G91" i="18"/>
  <c r="F91" i="18"/>
  <c r="E91" i="18"/>
  <c r="D91" i="18"/>
  <c r="C91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101" i="18"/>
  <c r="B100" i="18"/>
  <c r="B98" i="18"/>
  <c r="B93" i="18"/>
  <c r="B92" i="18"/>
  <c r="B91" i="18"/>
  <c r="B90" i="18"/>
  <c r="B89" i="18"/>
  <c r="B86" i="18"/>
  <c r="B85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Q78" i="18"/>
  <c r="Q79" i="18" s="1"/>
  <c r="P78" i="18"/>
  <c r="P79" i="18" s="1"/>
  <c r="O78" i="18"/>
  <c r="O79" i="18" s="1"/>
  <c r="N78" i="18"/>
  <c r="N79" i="18" s="1"/>
  <c r="M78" i="18"/>
  <c r="L78" i="18"/>
  <c r="K78" i="18"/>
  <c r="J78" i="18"/>
  <c r="I78" i="18"/>
  <c r="H78" i="18"/>
  <c r="G78" i="18"/>
  <c r="F78" i="18"/>
  <c r="E78" i="18"/>
  <c r="E79" i="18" s="1"/>
  <c r="D78" i="18"/>
  <c r="D79" i="18" s="1"/>
  <c r="C78" i="18"/>
  <c r="C79" i="18" s="1"/>
  <c r="B78" i="18"/>
  <c r="B79" i="18" s="1"/>
  <c r="Q70" i="18"/>
  <c r="P70" i="18"/>
  <c r="O70" i="18"/>
  <c r="N70" i="18"/>
  <c r="E70" i="18"/>
  <c r="D70" i="18"/>
  <c r="C70" i="18"/>
  <c r="B70" i="18"/>
  <c r="Q69" i="18"/>
  <c r="P69" i="18"/>
  <c r="O69" i="18"/>
  <c r="N69" i="18"/>
  <c r="M69" i="18"/>
  <c r="M70" i="18" s="1"/>
  <c r="L69" i="18"/>
  <c r="L70" i="18" s="1"/>
  <c r="K69" i="18"/>
  <c r="K70" i="18" s="1"/>
  <c r="J69" i="18"/>
  <c r="J70" i="18" s="1"/>
  <c r="I69" i="18"/>
  <c r="I70" i="18" s="1"/>
  <c r="I79" i="18" s="1"/>
  <c r="H69" i="18"/>
  <c r="H70" i="18" s="1"/>
  <c r="H79" i="18" s="1"/>
  <c r="G69" i="18"/>
  <c r="G70" i="18" s="1"/>
  <c r="G79" i="18" s="1"/>
  <c r="F69" i="18"/>
  <c r="F70" i="18" s="1"/>
  <c r="F79" i="18" s="1"/>
  <c r="E69" i="18"/>
  <c r="D69" i="18"/>
  <c r="C69" i="18"/>
  <c r="B69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Q49" i="18"/>
  <c r="P49" i="18"/>
  <c r="O49" i="18"/>
  <c r="N49" i="18"/>
  <c r="D49" i="18"/>
  <c r="C49" i="18"/>
  <c r="B49" i="18"/>
  <c r="Q48" i="18"/>
  <c r="P48" i="18"/>
  <c r="O48" i="18"/>
  <c r="N48" i="18"/>
  <c r="M48" i="18"/>
  <c r="M49" i="18" s="1"/>
  <c r="L48" i="18"/>
  <c r="L49" i="18" s="1"/>
  <c r="K48" i="18"/>
  <c r="K49" i="18" s="1"/>
  <c r="J48" i="18"/>
  <c r="J49" i="18" s="1"/>
  <c r="I48" i="18"/>
  <c r="I49" i="18" s="1"/>
  <c r="H48" i="18"/>
  <c r="H49" i="18" s="1"/>
  <c r="G48" i="18"/>
  <c r="F48" i="18"/>
  <c r="E48" i="18"/>
  <c r="D48" i="18"/>
  <c r="C48" i="18"/>
  <c r="B48" i="18"/>
  <c r="Q39" i="18"/>
  <c r="P39" i="18"/>
  <c r="O39" i="18"/>
  <c r="N39" i="18"/>
  <c r="M39" i="18"/>
  <c r="L39" i="18"/>
  <c r="K39" i="18"/>
  <c r="J39" i="18"/>
  <c r="I39" i="18"/>
  <c r="D39" i="18"/>
  <c r="C39" i="18"/>
  <c r="B39" i="18"/>
  <c r="H33" i="18"/>
  <c r="H39" i="18" s="1"/>
  <c r="G33" i="18"/>
  <c r="G39" i="18" s="1"/>
  <c r="F33" i="18"/>
  <c r="F39" i="18" s="1"/>
  <c r="E33" i="18"/>
  <c r="E39" i="18" s="1"/>
  <c r="E49" i="18" s="1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Q8" i="18"/>
  <c r="P8" i="18"/>
  <c r="P15" i="18" s="1"/>
  <c r="P20" i="18" s="1"/>
  <c r="P23" i="18" s="1"/>
  <c r="O8" i="18"/>
  <c r="O15" i="18" s="1"/>
  <c r="O20" i="18" s="1"/>
  <c r="O23" i="18" s="1"/>
  <c r="N8" i="18"/>
  <c r="N15" i="18" s="1"/>
  <c r="N20" i="18" s="1"/>
  <c r="N23" i="18" s="1"/>
  <c r="M8" i="18"/>
  <c r="L8" i="18"/>
  <c r="K8" i="18"/>
  <c r="J8" i="18"/>
  <c r="I8" i="18"/>
  <c r="H8" i="18"/>
  <c r="G8" i="18"/>
  <c r="F8" i="18"/>
  <c r="E8" i="18"/>
  <c r="D8" i="18"/>
  <c r="D15" i="18" s="1"/>
  <c r="D20" i="18" s="1"/>
  <c r="D23" i="18" s="1"/>
  <c r="C8" i="18"/>
  <c r="C15" i="18" s="1"/>
  <c r="C20" i="18" s="1"/>
  <c r="C23" i="18" s="1"/>
  <c r="B8" i="18"/>
  <c r="B15" i="18" s="1"/>
  <c r="B20" i="18" s="1"/>
  <c r="B23" i="18" s="1"/>
  <c r="Q153" i="10"/>
  <c r="P153" i="10"/>
  <c r="O153" i="10"/>
  <c r="N153" i="10"/>
  <c r="M153" i="10"/>
  <c r="L153" i="10"/>
  <c r="G153" i="10"/>
  <c r="F153" i="10"/>
  <c r="E153" i="10"/>
  <c r="D153" i="10"/>
  <c r="C153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K144" i="10"/>
  <c r="J144" i="10"/>
  <c r="I144" i="10"/>
  <c r="Q143" i="10"/>
  <c r="P143" i="10"/>
  <c r="O143" i="10"/>
  <c r="N143" i="10"/>
  <c r="M143" i="10"/>
  <c r="K143" i="10"/>
  <c r="J143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O137" i="10"/>
  <c r="N137" i="10"/>
  <c r="M137" i="10"/>
  <c r="L137" i="10"/>
  <c r="C137" i="10"/>
  <c r="C136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Q134" i="10"/>
  <c r="P134" i="10"/>
  <c r="O134" i="10"/>
  <c r="N134" i="10"/>
  <c r="M134" i="10"/>
  <c r="K134" i="10"/>
  <c r="J134" i="10"/>
  <c r="I134" i="10"/>
  <c r="H134" i="10"/>
  <c r="G134" i="10"/>
  <c r="F134" i="10"/>
  <c r="E134" i="10"/>
  <c r="D134" i="10"/>
  <c r="C134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Q131" i="10"/>
  <c r="P131" i="10"/>
  <c r="O131" i="10"/>
  <c r="N131" i="10"/>
  <c r="M131" i="10"/>
  <c r="K131" i="10"/>
  <c r="J131" i="10"/>
  <c r="I131" i="10"/>
  <c r="H131" i="10"/>
  <c r="G131" i="10"/>
  <c r="F131" i="10"/>
  <c r="E131" i="10"/>
  <c r="D131" i="10"/>
  <c r="C131" i="10"/>
  <c r="J130" i="10"/>
  <c r="I130" i="10"/>
  <c r="H130" i="10"/>
  <c r="C130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Q123" i="10"/>
  <c r="P123" i="10"/>
  <c r="O123" i="10"/>
  <c r="N123" i="10"/>
  <c r="M123" i="10"/>
  <c r="L123" i="10"/>
  <c r="G123" i="10"/>
  <c r="F123" i="10"/>
  <c r="E123" i="10"/>
  <c r="D123" i="10"/>
  <c r="C123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Q121" i="10"/>
  <c r="P121" i="10"/>
  <c r="O121" i="10"/>
  <c r="N121" i="10"/>
  <c r="M121" i="10"/>
  <c r="L121" i="10"/>
  <c r="K121" i="10"/>
  <c r="J121" i="10"/>
  <c r="I121" i="10"/>
  <c r="H121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Q119" i="10"/>
  <c r="P119" i="10"/>
  <c r="O119" i="10"/>
  <c r="N119" i="10"/>
  <c r="M119" i="10"/>
  <c r="K119" i="10"/>
  <c r="J119" i="10"/>
  <c r="I119" i="10"/>
  <c r="H119" i="10"/>
  <c r="G119" i="10"/>
  <c r="F119" i="10"/>
  <c r="E119" i="10"/>
  <c r="D119" i="10"/>
  <c r="C119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P117" i="10"/>
  <c r="O117" i="10"/>
  <c r="N117" i="10"/>
  <c r="M117" i="10"/>
  <c r="J117" i="10"/>
  <c r="I117" i="10"/>
  <c r="H117" i="10"/>
  <c r="G117" i="10"/>
  <c r="F117" i="10"/>
  <c r="E117" i="10"/>
  <c r="D117" i="10"/>
  <c r="C117" i="10"/>
  <c r="Q114" i="10"/>
  <c r="P114" i="10"/>
  <c r="O114" i="10"/>
  <c r="J114" i="10"/>
  <c r="D114" i="10"/>
  <c r="C114" i="10"/>
  <c r="G113" i="10"/>
  <c r="F113" i="10"/>
  <c r="E113" i="10"/>
  <c r="D113" i="10"/>
  <c r="C113" i="10"/>
  <c r="Q112" i="10"/>
  <c r="P112" i="10"/>
  <c r="O112" i="10"/>
  <c r="N112" i="10"/>
  <c r="M112" i="10"/>
  <c r="K112" i="10"/>
  <c r="J112" i="10"/>
  <c r="I112" i="10"/>
  <c r="H112" i="10"/>
  <c r="G112" i="10"/>
  <c r="F112" i="10"/>
  <c r="E112" i="10"/>
  <c r="D112" i="10"/>
  <c r="C112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Q108" i="10"/>
  <c r="P108" i="10"/>
  <c r="O108" i="10"/>
  <c r="N108" i="10"/>
  <c r="M108" i="10"/>
  <c r="L108" i="10"/>
  <c r="K108" i="10"/>
  <c r="J108" i="10"/>
  <c r="I108" i="10"/>
  <c r="D108" i="10"/>
  <c r="C108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P104" i="10"/>
  <c r="Q104" i="10" s="1"/>
  <c r="C104" i="10"/>
  <c r="D104" i="10" s="1"/>
  <c r="E104" i="10" s="1"/>
  <c r="F104" i="10" s="1"/>
  <c r="G104" i="10" s="1"/>
  <c r="H104" i="10" s="1"/>
  <c r="I104" i="10" s="1"/>
  <c r="J104" i="10" s="1"/>
  <c r="K104" i="10" s="1"/>
  <c r="L104" i="10" s="1"/>
  <c r="M104" i="10" s="1"/>
  <c r="N104" i="10" s="1"/>
  <c r="Q77" i="10"/>
  <c r="P77" i="10"/>
  <c r="O77" i="10"/>
  <c r="N77" i="10"/>
  <c r="M77" i="10"/>
  <c r="L77" i="10"/>
  <c r="K77" i="10"/>
  <c r="K153" i="10" s="1"/>
  <c r="J77" i="10"/>
  <c r="J153" i="10" s="1"/>
  <c r="I77" i="10"/>
  <c r="I153" i="10" s="1"/>
  <c r="H77" i="10"/>
  <c r="H153" i="10" s="1"/>
  <c r="G77" i="10"/>
  <c r="F77" i="10"/>
  <c r="E77" i="10"/>
  <c r="D77" i="10"/>
  <c r="C77" i="10"/>
  <c r="B77" i="10"/>
  <c r="Q68" i="10"/>
  <c r="Q144" i="10" s="1"/>
  <c r="P68" i="10"/>
  <c r="P144" i="10" s="1"/>
  <c r="O68" i="10"/>
  <c r="O144" i="10" s="1"/>
  <c r="N68" i="10"/>
  <c r="N144" i="10" s="1"/>
  <c r="M68" i="10"/>
  <c r="M144" i="10" s="1"/>
  <c r="L68" i="10"/>
  <c r="L144" i="10" s="1"/>
  <c r="K68" i="10"/>
  <c r="J68" i="10"/>
  <c r="I68" i="10"/>
  <c r="H68" i="10"/>
  <c r="H144" i="10" s="1"/>
  <c r="G68" i="10"/>
  <c r="G144" i="10" s="1"/>
  <c r="F68" i="10"/>
  <c r="F144" i="10" s="1"/>
  <c r="E68" i="10"/>
  <c r="E144" i="10" s="1"/>
  <c r="D68" i="10"/>
  <c r="D144" i="10" s="1"/>
  <c r="C68" i="10"/>
  <c r="C144" i="10" s="1"/>
  <c r="B68" i="10"/>
  <c r="Q61" i="10"/>
  <c r="Q137" i="10" s="1"/>
  <c r="P61" i="10"/>
  <c r="P137" i="10" s="1"/>
  <c r="O61" i="10"/>
  <c r="N61" i="10"/>
  <c r="M61" i="10"/>
  <c r="L61" i="10"/>
  <c r="K61" i="10"/>
  <c r="K137" i="10" s="1"/>
  <c r="J61" i="10"/>
  <c r="J137" i="10" s="1"/>
  <c r="I61" i="10"/>
  <c r="I137" i="10" s="1"/>
  <c r="H61" i="10"/>
  <c r="H137" i="10" s="1"/>
  <c r="G61" i="10"/>
  <c r="G137" i="10" s="1"/>
  <c r="F61" i="10"/>
  <c r="F137" i="10" s="1"/>
  <c r="E61" i="10"/>
  <c r="E137" i="10" s="1"/>
  <c r="D61" i="10"/>
  <c r="D137" i="10" s="1"/>
  <c r="C61" i="10"/>
  <c r="B61" i="10"/>
  <c r="Q47" i="10"/>
  <c r="P47" i="10"/>
  <c r="O47" i="10"/>
  <c r="N47" i="10"/>
  <c r="M47" i="10"/>
  <c r="L47" i="10"/>
  <c r="K47" i="10"/>
  <c r="K123" i="10" s="1"/>
  <c r="J47" i="10"/>
  <c r="J123" i="10" s="1"/>
  <c r="I47" i="10"/>
  <c r="I123" i="10" s="1"/>
  <c r="H47" i="10"/>
  <c r="H123" i="10" s="1"/>
  <c r="G47" i="10"/>
  <c r="F47" i="10"/>
  <c r="E47" i="10"/>
  <c r="D47" i="10"/>
  <c r="C47" i="10"/>
  <c r="B47" i="10"/>
  <c r="Q38" i="10"/>
  <c r="P38" i="10"/>
  <c r="P48" i="10" s="1"/>
  <c r="P124" i="10" s="1"/>
  <c r="O38" i="10"/>
  <c r="O48" i="10" s="1"/>
  <c r="O124" i="10" s="1"/>
  <c r="N38" i="10"/>
  <c r="N48" i="10" s="1"/>
  <c r="M38" i="10"/>
  <c r="M114" i="10" s="1"/>
  <c r="L38" i="10"/>
  <c r="L114" i="10" s="1"/>
  <c r="K38" i="10"/>
  <c r="K114" i="10" s="1"/>
  <c r="J38" i="10"/>
  <c r="I38" i="10"/>
  <c r="D38" i="10"/>
  <c r="C38" i="10"/>
  <c r="B38" i="10"/>
  <c r="H32" i="10"/>
  <c r="H38" i="10" s="1"/>
  <c r="I114" i="10" s="1"/>
  <c r="G32" i="10"/>
  <c r="G38" i="10" s="1"/>
  <c r="G114" i="10" s="1"/>
  <c r="F32" i="10"/>
  <c r="F38" i="10" s="1"/>
  <c r="F114" i="10" s="1"/>
  <c r="E32" i="10"/>
  <c r="E38" i="10" s="1"/>
  <c r="E48" i="10" s="1"/>
  <c r="P28" i="10"/>
  <c r="Q28" i="10" s="1"/>
  <c r="C28" i="10"/>
  <c r="D28" i="10" s="1"/>
  <c r="E28" i="10" s="1"/>
  <c r="F28" i="10" s="1"/>
  <c r="G28" i="10" s="1"/>
  <c r="H28" i="10" s="1"/>
  <c r="I28" i="10" s="1"/>
  <c r="J28" i="10" s="1"/>
  <c r="K28" i="10" s="1"/>
  <c r="L28" i="10" s="1"/>
  <c r="M28" i="10" s="1"/>
  <c r="N28" i="10" s="1"/>
  <c r="B143" i="9"/>
  <c r="B142" i="9"/>
  <c r="B145" i="9"/>
  <c r="B144" i="9"/>
  <c r="B141" i="9"/>
  <c r="B140" i="9"/>
  <c r="B139" i="9"/>
  <c r="B136" i="9"/>
  <c r="B135" i="9"/>
  <c r="B134" i="9"/>
  <c r="B133" i="9"/>
  <c r="B132" i="9"/>
  <c r="B131" i="9"/>
  <c r="B128" i="9"/>
  <c r="B127" i="9"/>
  <c r="B126" i="9"/>
  <c r="B125" i="9"/>
  <c r="B124" i="9"/>
  <c r="B123" i="9"/>
  <c r="B122" i="9"/>
  <c r="B121" i="9"/>
  <c r="B120" i="9"/>
  <c r="B119" i="9"/>
  <c r="B118" i="9"/>
  <c r="B115" i="9"/>
  <c r="B114" i="9"/>
  <c r="B113" i="9"/>
  <c r="B112" i="9"/>
  <c r="B111" i="9"/>
  <c r="B110" i="9"/>
  <c r="B109" i="9"/>
  <c r="B108" i="9"/>
  <c r="B105" i="9"/>
  <c r="B104" i="9"/>
  <c r="B103" i="9"/>
  <c r="B102" i="9"/>
  <c r="B101" i="9"/>
  <c r="B100" i="9"/>
  <c r="B99" i="9"/>
  <c r="B98" i="9"/>
  <c r="B97" i="9"/>
  <c r="B77" i="9"/>
  <c r="B68" i="9"/>
  <c r="B61" i="9"/>
  <c r="B47" i="9"/>
  <c r="B38" i="9"/>
  <c r="C92" i="17"/>
  <c r="D92" i="17" s="1"/>
  <c r="E92" i="17" s="1"/>
  <c r="F92" i="17" s="1"/>
  <c r="G92" i="17" s="1"/>
  <c r="H92" i="17" s="1"/>
  <c r="I92" i="17" s="1"/>
  <c r="J92" i="17" s="1"/>
  <c r="K92" i="17" s="1"/>
  <c r="L92" i="17" s="1"/>
  <c r="M92" i="17" s="1"/>
  <c r="N92" i="17" s="1"/>
  <c r="C33" i="17"/>
  <c r="D33" i="17" s="1"/>
  <c r="E33" i="17" s="1"/>
  <c r="F33" i="17" s="1"/>
  <c r="G33" i="17" s="1"/>
  <c r="H33" i="17" s="1"/>
  <c r="I33" i="17" s="1"/>
  <c r="J33" i="17" s="1"/>
  <c r="K33" i="17" s="1"/>
  <c r="L33" i="17" s="1"/>
  <c r="M33" i="17" s="1"/>
  <c r="N33" i="17" s="1"/>
  <c r="C8" i="17"/>
  <c r="D8" i="17" s="1"/>
  <c r="E8" i="17" s="1"/>
  <c r="F8" i="17" s="1"/>
  <c r="G8" i="17" s="1"/>
  <c r="H8" i="17" s="1"/>
  <c r="I8" i="17" s="1"/>
  <c r="J8" i="17" s="1"/>
  <c r="K8" i="17" s="1"/>
  <c r="L8" i="17" s="1"/>
  <c r="M8" i="17" s="1"/>
  <c r="N8" i="17" s="1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Q95" i="10"/>
  <c r="P95" i="10"/>
  <c r="O95" i="10"/>
  <c r="N95" i="10"/>
  <c r="M95" i="10"/>
  <c r="L95" i="10"/>
  <c r="K95" i="10"/>
  <c r="J95" i="10"/>
  <c r="I95" i="10"/>
  <c r="H95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B84" i="9"/>
  <c r="C81" i="10"/>
  <c r="D81" i="10" s="1"/>
  <c r="E81" i="10" s="1"/>
  <c r="F81" i="10" s="1"/>
  <c r="G81" i="10" s="1"/>
  <c r="H81" i="10" s="1"/>
  <c r="I81" i="10" s="1"/>
  <c r="J81" i="10" s="1"/>
  <c r="K81" i="10" s="1"/>
  <c r="L81" i="10" s="1"/>
  <c r="M81" i="10" s="1"/>
  <c r="N81" i="10" s="1"/>
  <c r="C83" i="18"/>
  <c r="D83" i="18" s="1"/>
  <c r="E83" i="18" s="1"/>
  <c r="F83" i="18" s="1"/>
  <c r="G83" i="18" s="1"/>
  <c r="H83" i="18" s="1"/>
  <c r="I83" i="18" s="1"/>
  <c r="J83" i="18" s="1"/>
  <c r="K83" i="18" s="1"/>
  <c r="L83" i="18" s="1"/>
  <c r="M83" i="18" s="1"/>
  <c r="N83" i="18" s="1"/>
  <c r="C108" i="18"/>
  <c r="D108" i="18" s="1"/>
  <c r="E108" i="18" s="1"/>
  <c r="F108" i="18" s="1"/>
  <c r="G108" i="18" s="1"/>
  <c r="H108" i="18" s="1"/>
  <c r="I108" i="18" s="1"/>
  <c r="J108" i="18" s="1"/>
  <c r="K108" i="18" s="1"/>
  <c r="L108" i="18" s="1"/>
  <c r="M108" i="18" s="1"/>
  <c r="N108" i="18" s="1"/>
  <c r="C5" i="18"/>
  <c r="D5" i="18" s="1"/>
  <c r="E5" i="18" s="1"/>
  <c r="F5" i="18" s="1"/>
  <c r="G5" i="18" s="1"/>
  <c r="H5" i="18" s="1"/>
  <c r="I5" i="18" s="1"/>
  <c r="J5" i="18" s="1"/>
  <c r="K5" i="18" s="1"/>
  <c r="L5" i="18" s="1"/>
  <c r="M5" i="18" s="1"/>
  <c r="N5" i="18" s="1"/>
  <c r="C86" i="19"/>
  <c r="D86" i="19" s="1"/>
  <c r="E86" i="19" s="1"/>
  <c r="F86" i="19" s="1"/>
  <c r="G86" i="19" s="1"/>
  <c r="H86" i="19" s="1"/>
  <c r="I86" i="19" s="1"/>
  <c r="J86" i="19" s="1"/>
  <c r="K86" i="19" s="1"/>
  <c r="L86" i="19" s="1"/>
  <c r="M86" i="19" s="1"/>
  <c r="N86" i="19" s="1"/>
  <c r="C110" i="19"/>
  <c r="D110" i="19" s="1"/>
  <c r="E110" i="19" s="1"/>
  <c r="F110" i="19" s="1"/>
  <c r="G110" i="19" s="1"/>
  <c r="H110" i="19" s="1"/>
  <c r="I110" i="19" s="1"/>
  <c r="J110" i="19" s="1"/>
  <c r="K110" i="19" s="1"/>
  <c r="L110" i="19" s="1"/>
  <c r="M110" i="19" s="1"/>
  <c r="N110" i="19" s="1"/>
  <c r="C33" i="11"/>
  <c r="D33" i="11" s="1"/>
  <c r="E33" i="11" s="1"/>
  <c r="F33" i="11" s="1"/>
  <c r="G33" i="11" s="1"/>
  <c r="H33" i="11" s="1"/>
  <c r="I33" i="11" s="1"/>
  <c r="J33" i="11" s="1"/>
  <c r="K33" i="11" s="1"/>
  <c r="L33" i="11" s="1"/>
  <c r="M33" i="11" s="1"/>
  <c r="N33" i="11" s="1"/>
  <c r="C9" i="11"/>
  <c r="D9" i="11" s="1"/>
  <c r="E9" i="11" s="1"/>
  <c r="F9" i="11" s="1"/>
  <c r="G9" i="11" s="1"/>
  <c r="H9" i="11" s="1"/>
  <c r="I9" i="11" s="1"/>
  <c r="J9" i="11" s="1"/>
  <c r="K9" i="11" s="1"/>
  <c r="L9" i="11" s="1"/>
  <c r="M9" i="11" s="1"/>
  <c r="N9" i="11" s="1"/>
  <c r="C89" i="11"/>
  <c r="D89" i="11" s="1"/>
  <c r="E89" i="11" s="1"/>
  <c r="F89" i="11" s="1"/>
  <c r="G89" i="11" s="1"/>
  <c r="H89" i="11" s="1"/>
  <c r="I89" i="11" s="1"/>
  <c r="J89" i="11" s="1"/>
  <c r="K89" i="11" s="1"/>
  <c r="L89" i="11" s="1"/>
  <c r="M89" i="11" s="1"/>
  <c r="N89" i="11" s="1"/>
  <c r="C29" i="18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C6" i="10"/>
  <c r="D6" i="10" s="1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P92" i="17"/>
  <c r="Q92" i="17" s="1"/>
  <c r="S21" i="20" l="1"/>
  <c r="K10" i="20"/>
  <c r="K9" i="20"/>
  <c r="Y10" i="20"/>
  <c r="Y9" i="20"/>
  <c r="N21" i="20"/>
  <c r="Y34" i="21"/>
  <c r="S4" i="20"/>
  <c r="Y36" i="21"/>
  <c r="S80" i="20"/>
  <c r="S83" i="20" s="1"/>
  <c r="Y37" i="21"/>
  <c r="S73" i="20"/>
  <c r="N8" i="20"/>
  <c r="N11" i="20" s="1"/>
  <c r="N12" i="20"/>
  <c r="E30" i="21"/>
  <c r="E33" i="21"/>
  <c r="S33" i="21"/>
  <c r="N83" i="20" s="1"/>
  <c r="N84" i="20" s="1"/>
  <c r="N85" i="20" s="1"/>
  <c r="S30" i="21"/>
  <c r="M16" i="20"/>
  <c r="M17" i="20" s="1"/>
  <c r="T22" i="20"/>
  <c r="T21" i="20"/>
  <c r="U22" i="20"/>
  <c r="Z37" i="21"/>
  <c r="T73" i="20"/>
  <c r="T80" i="20"/>
  <c r="T83" i="20" s="1"/>
  <c r="T4" i="20"/>
  <c r="Z34" i="21"/>
  <c r="Z36" i="21"/>
  <c r="U83" i="20"/>
  <c r="U84" i="20" s="1"/>
  <c r="U85" i="20" s="1"/>
  <c r="N82" i="20"/>
  <c r="AG39" i="21"/>
  <c r="AA82" i="20"/>
  <c r="AA86" i="20" s="1"/>
  <c r="AA87" i="20" s="1"/>
  <c r="R10" i="20"/>
  <c r="R9" i="20"/>
  <c r="C22" i="20"/>
  <c r="C21" i="20"/>
  <c r="E16" i="20"/>
  <c r="E17" i="20" s="1"/>
  <c r="K33" i="21"/>
  <c r="K30" i="21"/>
  <c r="H12" i="20"/>
  <c r="H8" i="20"/>
  <c r="H11" i="20" s="1"/>
  <c r="D16" i="20"/>
  <c r="D17" i="20" s="1"/>
  <c r="J30" i="21"/>
  <c r="J33" i="21"/>
  <c r="I37" i="21"/>
  <c r="I34" i="21"/>
  <c r="C4" i="20"/>
  <c r="I36" i="21"/>
  <c r="I38" i="21" s="1"/>
  <c r="C80" i="20"/>
  <c r="C83" i="20" s="1"/>
  <c r="C73" i="20"/>
  <c r="I86" i="20"/>
  <c r="U37" i="21"/>
  <c r="U36" i="21"/>
  <c r="U38" i="21" s="1"/>
  <c r="U34" i="21"/>
  <c r="O73" i="20"/>
  <c r="O4" i="20"/>
  <c r="O80" i="20"/>
  <c r="O83" i="20" s="1"/>
  <c r="I84" i="20"/>
  <c r="I85" i="20"/>
  <c r="I87" i="20" s="1"/>
  <c r="H83" i="20"/>
  <c r="H37" i="21"/>
  <c r="H36" i="21"/>
  <c r="H34" i="21"/>
  <c r="B4" i="20"/>
  <c r="B80" i="20"/>
  <c r="B73" i="20"/>
  <c r="P16" i="20"/>
  <c r="V30" i="21"/>
  <c r="V33" i="21"/>
  <c r="F34" i="21"/>
  <c r="F37" i="21"/>
  <c r="F36" i="21"/>
  <c r="AC30" i="21"/>
  <c r="W16" i="20"/>
  <c r="W17" i="20" s="1"/>
  <c r="AC33" i="21"/>
  <c r="F16" i="20"/>
  <c r="L30" i="21"/>
  <c r="L33" i="21"/>
  <c r="W34" i="21"/>
  <c r="W37" i="21"/>
  <c r="W36" i="21"/>
  <c r="Q80" i="20"/>
  <c r="Q83" i="20" s="1"/>
  <c r="Q84" i="20" s="1"/>
  <c r="Q85" i="20" s="1"/>
  <c r="Q73" i="20"/>
  <c r="Q4" i="20"/>
  <c r="P17" i="20"/>
  <c r="B22" i="20"/>
  <c r="B21" i="20"/>
  <c r="AB30" i="21"/>
  <c r="V16" i="20"/>
  <c r="V17" i="20" s="1"/>
  <c r="AB33" i="21"/>
  <c r="Q30" i="21"/>
  <c r="K16" i="20"/>
  <c r="K17" i="20" s="1"/>
  <c r="Q33" i="21"/>
  <c r="P30" i="21"/>
  <c r="P33" i="21"/>
  <c r="J16" i="20"/>
  <c r="J17" i="20" s="1"/>
  <c r="F17" i="20"/>
  <c r="H76" i="20"/>
  <c r="H74" i="20"/>
  <c r="AE33" i="21"/>
  <c r="AE30" i="21"/>
  <c r="Y16" i="20"/>
  <c r="B37" i="21"/>
  <c r="C39" i="21" s="1"/>
  <c r="B34" i="21"/>
  <c r="B36" i="21"/>
  <c r="C38" i="21" s="1"/>
  <c r="G33" i="21"/>
  <c r="G30" i="21"/>
  <c r="AA76" i="20"/>
  <c r="AA74" i="20"/>
  <c r="AA12" i="20"/>
  <c r="AA8" i="20"/>
  <c r="AA11" i="20" s="1"/>
  <c r="M30" i="21"/>
  <c r="M33" i="21"/>
  <c r="G16" i="20"/>
  <c r="G17" i="20" s="1"/>
  <c r="O21" i="20"/>
  <c r="O22" i="20"/>
  <c r="N74" i="20"/>
  <c r="N76" i="20"/>
  <c r="J10" i="20"/>
  <c r="J9" i="20"/>
  <c r="R16" i="20"/>
  <c r="R17" i="20" s="1"/>
  <c r="X33" i="21"/>
  <c r="X30" i="21"/>
  <c r="H82" i="20"/>
  <c r="Y17" i="20"/>
  <c r="L113" i="17"/>
  <c r="L112" i="17"/>
  <c r="M112" i="17"/>
  <c r="M113" i="17"/>
  <c r="F113" i="17"/>
  <c r="F112" i="17"/>
  <c r="G113" i="17"/>
  <c r="G112" i="17"/>
  <c r="H113" i="17"/>
  <c r="H112" i="17"/>
  <c r="I112" i="17"/>
  <c r="I113" i="17"/>
  <c r="J113" i="17"/>
  <c r="J112" i="17"/>
  <c r="K113" i="17"/>
  <c r="K112" i="17"/>
  <c r="B112" i="17"/>
  <c r="B113" i="17"/>
  <c r="N112" i="17"/>
  <c r="N113" i="17"/>
  <c r="C112" i="17"/>
  <c r="C113" i="17"/>
  <c r="O112" i="17"/>
  <c r="O113" i="17"/>
  <c r="D113" i="17"/>
  <c r="D112" i="17"/>
  <c r="P113" i="17"/>
  <c r="P112" i="17"/>
  <c r="E113" i="17"/>
  <c r="E112" i="17"/>
  <c r="Q112" i="17"/>
  <c r="Q113" i="17"/>
  <c r="M18" i="17"/>
  <c r="M23" i="17" s="1"/>
  <c r="M26" i="17" s="1"/>
  <c r="M100" i="17" s="1"/>
  <c r="Q74" i="17"/>
  <c r="Q83" i="17" s="1"/>
  <c r="B74" i="17"/>
  <c r="B83" i="17" s="1"/>
  <c r="C74" i="17"/>
  <c r="C83" i="17" s="1"/>
  <c r="D74" i="17"/>
  <c r="D83" i="17" s="1"/>
  <c r="E74" i="17"/>
  <c r="E83" i="17" s="1"/>
  <c r="N53" i="17"/>
  <c r="N116" i="17" s="1"/>
  <c r="O53" i="17"/>
  <c r="O116" i="17" s="1"/>
  <c r="P53" i="17"/>
  <c r="P116" i="17" s="1"/>
  <c r="Q53" i="17"/>
  <c r="Q116" i="17" s="1"/>
  <c r="F74" i="17"/>
  <c r="F83" i="17" s="1"/>
  <c r="G74" i="17"/>
  <c r="G83" i="17" s="1"/>
  <c r="H74" i="17"/>
  <c r="H83" i="17" s="1"/>
  <c r="E18" i="17"/>
  <c r="E23" i="17" s="1"/>
  <c r="E26" i="17" s="1"/>
  <c r="E100" i="17" s="1"/>
  <c r="M53" i="17"/>
  <c r="M116" i="17" s="1"/>
  <c r="I53" i="17"/>
  <c r="I116" i="17" s="1"/>
  <c r="M74" i="17"/>
  <c r="M83" i="17" s="1"/>
  <c r="I74" i="17"/>
  <c r="I83" i="17" s="1"/>
  <c r="J18" i="17"/>
  <c r="J23" i="17" s="1"/>
  <c r="J26" i="17" s="1"/>
  <c r="J100" i="17" s="1"/>
  <c r="E53" i="17"/>
  <c r="N74" i="17"/>
  <c r="N83" i="17" s="1"/>
  <c r="O74" i="17"/>
  <c r="O94" i="17" s="1"/>
  <c r="L18" i="17"/>
  <c r="L23" i="17" s="1"/>
  <c r="L26" i="17" s="1"/>
  <c r="L100" i="17" s="1"/>
  <c r="P74" i="17"/>
  <c r="P83" i="17" s="1"/>
  <c r="J53" i="17"/>
  <c r="J116" i="17" s="1"/>
  <c r="K53" i="17"/>
  <c r="K116" i="17" s="1"/>
  <c r="L53" i="17"/>
  <c r="L116" i="17" s="1"/>
  <c r="N18" i="17"/>
  <c r="N23" i="17" s="1"/>
  <c r="N26" i="17" s="1"/>
  <c r="N100" i="17" s="1"/>
  <c r="B53" i="17"/>
  <c r="O18" i="17"/>
  <c r="O23" i="17" s="1"/>
  <c r="O26" i="17" s="1"/>
  <c r="O100" i="17" s="1"/>
  <c r="C53" i="17"/>
  <c r="C116" i="17" s="1"/>
  <c r="P18" i="17"/>
  <c r="P23" i="17" s="1"/>
  <c r="P26" i="17" s="1"/>
  <c r="P100" i="17" s="1"/>
  <c r="D53" i="17"/>
  <c r="D116" i="17" s="1"/>
  <c r="J74" i="17"/>
  <c r="K74" i="17"/>
  <c r="K83" i="17" s="1"/>
  <c r="L74" i="17"/>
  <c r="F53" i="17"/>
  <c r="F116" i="17" s="1"/>
  <c r="G53" i="17"/>
  <c r="G116" i="17" s="1"/>
  <c r="H53" i="17"/>
  <c r="H116" i="17" s="1"/>
  <c r="Q18" i="17"/>
  <c r="Q23" i="17" s="1"/>
  <c r="Q26" i="17" s="1"/>
  <c r="B18" i="17"/>
  <c r="B23" i="17" s="1"/>
  <c r="B26" i="17" s="1"/>
  <c r="B100" i="17" s="1"/>
  <c r="C18" i="17"/>
  <c r="C23" i="17" s="1"/>
  <c r="C26" i="17" s="1"/>
  <c r="C100" i="17" s="1"/>
  <c r="D18" i="17"/>
  <c r="D23" i="17" s="1"/>
  <c r="D26" i="17" s="1"/>
  <c r="D100" i="17" s="1"/>
  <c r="F18" i="17"/>
  <c r="F23" i="17" s="1"/>
  <c r="F26" i="17" s="1"/>
  <c r="F100" i="17" s="1"/>
  <c r="K18" i="17"/>
  <c r="K23" i="17" s="1"/>
  <c r="K26" i="17" s="1"/>
  <c r="K100" i="17" s="1"/>
  <c r="G18" i="17"/>
  <c r="G23" i="17" s="1"/>
  <c r="G26" i="17" s="1"/>
  <c r="G100" i="17" s="1"/>
  <c r="H18" i="17"/>
  <c r="H23" i="17" s="1"/>
  <c r="H26" i="17" s="1"/>
  <c r="H100" i="17" s="1"/>
  <c r="I18" i="17"/>
  <c r="I23" i="17" s="1"/>
  <c r="I26" i="17" s="1"/>
  <c r="I100" i="17" s="1"/>
  <c r="J83" i="11"/>
  <c r="K83" i="11"/>
  <c r="L83" i="11"/>
  <c r="M83" i="11"/>
  <c r="F53" i="11"/>
  <c r="G53" i="11"/>
  <c r="H53" i="11"/>
  <c r="C19" i="11"/>
  <c r="C24" i="11" s="1"/>
  <c r="C27" i="11" s="1"/>
  <c r="D19" i="11"/>
  <c r="D24" i="11" s="1"/>
  <c r="D27" i="11" s="1"/>
  <c r="B19" i="11"/>
  <c r="B24" i="11" s="1"/>
  <c r="B27" i="11" s="1"/>
  <c r="E19" i="11"/>
  <c r="E24" i="11" s="1"/>
  <c r="E27" i="11" s="1"/>
  <c r="F19" i="11"/>
  <c r="F24" i="11" s="1"/>
  <c r="F27" i="11" s="1"/>
  <c r="G19" i="11"/>
  <c r="G24" i="11" s="1"/>
  <c r="G27" i="11" s="1"/>
  <c r="H19" i="11"/>
  <c r="H24" i="11" s="1"/>
  <c r="H27" i="11" s="1"/>
  <c r="I19" i="11"/>
  <c r="I24" i="11" s="1"/>
  <c r="I27" i="11" s="1"/>
  <c r="H15" i="19"/>
  <c r="H20" i="19" s="1"/>
  <c r="H23" i="19" s="1"/>
  <c r="J70" i="19"/>
  <c r="I15" i="19"/>
  <c r="I20" i="19" s="1"/>
  <c r="I23" i="19" s="1"/>
  <c r="K70" i="19"/>
  <c r="K79" i="19" s="1"/>
  <c r="J15" i="19"/>
  <c r="J20" i="19" s="1"/>
  <c r="J23" i="19" s="1"/>
  <c r="L70" i="19"/>
  <c r="L79" i="19" s="1"/>
  <c r="B79" i="19"/>
  <c r="N79" i="19"/>
  <c r="C79" i="19"/>
  <c r="O79" i="19"/>
  <c r="D79" i="19"/>
  <c r="P79" i="19"/>
  <c r="J79" i="19"/>
  <c r="M79" i="19"/>
  <c r="F49" i="19"/>
  <c r="G49" i="19"/>
  <c r="H49" i="19"/>
  <c r="J79" i="18"/>
  <c r="K79" i="18"/>
  <c r="L79" i="18"/>
  <c r="M79" i="18"/>
  <c r="F49" i="18"/>
  <c r="G49" i="18"/>
  <c r="E15" i="18"/>
  <c r="E20" i="18" s="1"/>
  <c r="E23" i="18" s="1"/>
  <c r="Q15" i="18"/>
  <c r="Q20" i="18" s="1"/>
  <c r="Q23" i="18" s="1"/>
  <c r="J15" i="18"/>
  <c r="J20" i="18" s="1"/>
  <c r="J23" i="18" s="1"/>
  <c r="F15" i="18"/>
  <c r="F20" i="18" s="1"/>
  <c r="F23" i="18" s="1"/>
  <c r="K15" i="18"/>
  <c r="K20" i="18" s="1"/>
  <c r="K23" i="18" s="1"/>
  <c r="G15" i="18"/>
  <c r="G20" i="18" s="1"/>
  <c r="G23" i="18" s="1"/>
  <c r="L15" i="18"/>
  <c r="L20" i="18" s="1"/>
  <c r="L23" i="18" s="1"/>
  <c r="H15" i="18"/>
  <c r="H20" i="18" s="1"/>
  <c r="H23" i="18" s="1"/>
  <c r="M15" i="18"/>
  <c r="M20" i="18" s="1"/>
  <c r="M23" i="18" s="1"/>
  <c r="I15" i="18"/>
  <c r="I20" i="18" s="1"/>
  <c r="I23" i="18" s="1"/>
  <c r="H114" i="10"/>
  <c r="E108" i="10"/>
  <c r="F108" i="10"/>
  <c r="E114" i="10"/>
  <c r="G108" i="10"/>
  <c r="C69" i="10"/>
  <c r="C145" i="10" s="1"/>
  <c r="O69" i="10"/>
  <c r="O145" i="10" s="1"/>
  <c r="H108" i="10"/>
  <c r="N114" i="10"/>
  <c r="D69" i="10"/>
  <c r="P69" i="10"/>
  <c r="E69" i="10"/>
  <c r="N69" i="10"/>
  <c r="G69" i="10"/>
  <c r="D48" i="10"/>
  <c r="D124" i="10" s="1"/>
  <c r="H69" i="10"/>
  <c r="B69" i="10"/>
  <c r="Q48" i="10"/>
  <c r="Q124" i="10" s="1"/>
  <c r="I69" i="10"/>
  <c r="J48" i="10"/>
  <c r="J124" i="10" s="1"/>
  <c r="K48" i="10"/>
  <c r="K124" i="10" s="1"/>
  <c r="L48" i="10"/>
  <c r="L124" i="10" s="1"/>
  <c r="M48" i="10"/>
  <c r="B48" i="10"/>
  <c r="Q69" i="10"/>
  <c r="C48" i="10"/>
  <c r="C124" i="10" s="1"/>
  <c r="F69" i="10"/>
  <c r="I48" i="10"/>
  <c r="I124" i="10" s="1"/>
  <c r="J69" i="10"/>
  <c r="M69" i="10"/>
  <c r="M145" i="10" s="1"/>
  <c r="F48" i="10"/>
  <c r="F124" i="10" s="1"/>
  <c r="B78" i="10"/>
  <c r="N78" i="10"/>
  <c r="N154" i="10" s="1"/>
  <c r="G48" i="10"/>
  <c r="G124" i="10" s="1"/>
  <c r="K69" i="10"/>
  <c r="L69" i="10"/>
  <c r="H48" i="10"/>
  <c r="E78" i="10"/>
  <c r="M78" i="10"/>
  <c r="Q84" i="10"/>
  <c r="E90" i="10"/>
  <c r="F90" i="10"/>
  <c r="G90" i="10"/>
  <c r="C84" i="10"/>
  <c r="O84" i="10"/>
  <c r="Q90" i="10"/>
  <c r="L84" i="10"/>
  <c r="H90" i="10"/>
  <c r="I90" i="10"/>
  <c r="J90" i="10"/>
  <c r="K90" i="10"/>
  <c r="M90" i="10"/>
  <c r="M84" i="10"/>
  <c r="D84" i="10"/>
  <c r="P84" i="10"/>
  <c r="E84" i="10"/>
  <c r="F84" i="10"/>
  <c r="N90" i="10"/>
  <c r="G84" i="10"/>
  <c r="C90" i="10"/>
  <c r="O90" i="10"/>
  <c r="H84" i="10"/>
  <c r="D90" i="10"/>
  <c r="P90" i="10"/>
  <c r="I84" i="10"/>
  <c r="J84" i="10"/>
  <c r="L90" i="10"/>
  <c r="K84" i="10"/>
  <c r="N84" i="10"/>
  <c r="B69" i="9"/>
  <c r="B78" i="9" s="1"/>
  <c r="B48" i="9"/>
  <c r="B16" i="10"/>
  <c r="B21" i="10" s="1"/>
  <c r="F16" i="10"/>
  <c r="C16" i="10"/>
  <c r="O16" i="10"/>
  <c r="G16" i="10"/>
  <c r="P16" i="10"/>
  <c r="H16" i="10"/>
  <c r="E16" i="10"/>
  <c r="Q16" i="10"/>
  <c r="I16" i="10"/>
  <c r="J16" i="10"/>
  <c r="K16" i="10"/>
  <c r="L16" i="10"/>
  <c r="M16" i="10"/>
  <c r="N16" i="10"/>
  <c r="N91" i="10" s="1"/>
  <c r="D16" i="10"/>
  <c r="P33" i="17"/>
  <c r="Q33" i="17" s="1"/>
  <c r="Q101" i="17" l="1"/>
  <c r="Q100" i="17"/>
  <c r="R21" i="20"/>
  <c r="R22" i="20"/>
  <c r="S22" i="20"/>
  <c r="M21" i="20"/>
  <c r="M22" i="20"/>
  <c r="N22" i="20"/>
  <c r="G21" i="20"/>
  <c r="G22" i="20"/>
  <c r="H22" i="20"/>
  <c r="D21" i="20"/>
  <c r="D22" i="20"/>
  <c r="E22" i="20"/>
  <c r="E21" i="20"/>
  <c r="W22" i="20"/>
  <c r="X22" i="20"/>
  <c r="W21" i="20"/>
  <c r="P36" i="21"/>
  <c r="P38" i="21" s="1"/>
  <c r="J4" i="20"/>
  <c r="J73" i="20"/>
  <c r="P34" i="21"/>
  <c r="P37" i="21"/>
  <c r="J80" i="20"/>
  <c r="J83" i="20" s="1"/>
  <c r="Q74" i="20"/>
  <c r="Q76" i="20"/>
  <c r="B82" i="20"/>
  <c r="K34" i="21"/>
  <c r="K37" i="21"/>
  <c r="K36" i="21"/>
  <c r="E80" i="20"/>
  <c r="E83" i="20" s="1"/>
  <c r="E4" i="20"/>
  <c r="E73" i="20"/>
  <c r="S8" i="20"/>
  <c r="S11" i="20" s="1"/>
  <c r="S12" i="20"/>
  <c r="H85" i="20"/>
  <c r="H84" i="20"/>
  <c r="Y22" i="20"/>
  <c r="Z22" i="20"/>
  <c r="Y21" i="20"/>
  <c r="K21" i="20"/>
  <c r="L22" i="20"/>
  <c r="K22" i="20"/>
  <c r="AB36" i="21"/>
  <c r="AB38" i="21" s="1"/>
  <c r="V4" i="20"/>
  <c r="AB37" i="21"/>
  <c r="V73" i="20"/>
  <c r="V80" i="20"/>
  <c r="V83" i="20" s="1"/>
  <c r="V84" i="20" s="1"/>
  <c r="V85" i="20" s="1"/>
  <c r="AB34" i="21"/>
  <c r="O12" i="20"/>
  <c r="O8" i="20"/>
  <c r="O11" i="20" s="1"/>
  <c r="I39" i="21"/>
  <c r="C82" i="20"/>
  <c r="C86" i="20" s="1"/>
  <c r="T12" i="20"/>
  <c r="T8" i="20"/>
  <c r="T11" i="20" s="1"/>
  <c r="X34" i="21"/>
  <c r="R80" i="20"/>
  <c r="R83" i="20" s="1"/>
  <c r="R84" i="20" s="1"/>
  <c r="R85" i="20" s="1"/>
  <c r="X36" i="21"/>
  <c r="X38" i="21" s="1"/>
  <c r="X37" i="21"/>
  <c r="R73" i="20"/>
  <c r="R4" i="20"/>
  <c r="V22" i="20"/>
  <c r="V21" i="20"/>
  <c r="L34" i="21"/>
  <c r="L37" i="21"/>
  <c r="F80" i="20"/>
  <c r="F83" i="20" s="1"/>
  <c r="F4" i="20"/>
  <c r="F73" i="20"/>
  <c r="L36" i="21"/>
  <c r="L38" i="21" s="1"/>
  <c r="O74" i="20"/>
  <c r="O76" i="20"/>
  <c r="J36" i="21"/>
  <c r="J38" i="21" s="1"/>
  <c r="D4" i="20"/>
  <c r="D80" i="20"/>
  <c r="D83" i="20" s="1"/>
  <c r="J34" i="21"/>
  <c r="J37" i="21"/>
  <c r="D73" i="20"/>
  <c r="T84" i="20"/>
  <c r="T85" i="20"/>
  <c r="C76" i="20"/>
  <c r="C74" i="20"/>
  <c r="G37" i="21"/>
  <c r="G39" i="21" s="1"/>
  <c r="G36" i="21"/>
  <c r="G38" i="21" s="1"/>
  <c r="G34" i="21"/>
  <c r="V36" i="21"/>
  <c r="V38" i="21" s="1"/>
  <c r="P4" i="20"/>
  <c r="P80" i="20"/>
  <c r="P83" i="20" s="1"/>
  <c r="P73" i="20"/>
  <c r="V34" i="21"/>
  <c r="V37" i="21"/>
  <c r="W39" i="21" s="1"/>
  <c r="Z38" i="21"/>
  <c r="AA38" i="21"/>
  <c r="M34" i="21"/>
  <c r="G73" i="20"/>
  <c r="M37" i="21"/>
  <c r="G4" i="20"/>
  <c r="M36" i="21"/>
  <c r="G80" i="20"/>
  <c r="G83" i="20" s="1"/>
  <c r="B74" i="20"/>
  <c r="B76" i="20"/>
  <c r="T76" i="20"/>
  <c r="T74" i="20"/>
  <c r="B83" i="20"/>
  <c r="T82" i="20"/>
  <c r="T86" i="20" s="1"/>
  <c r="Z39" i="21"/>
  <c r="AA39" i="21"/>
  <c r="U86" i="20"/>
  <c r="U87" i="20" s="1"/>
  <c r="S76" i="20"/>
  <c r="S74" i="20"/>
  <c r="C84" i="20"/>
  <c r="C85" i="20"/>
  <c r="C87" i="20" s="1"/>
  <c r="S37" i="21"/>
  <c r="S36" i="21"/>
  <c r="M4" i="20"/>
  <c r="M80" i="20"/>
  <c r="M83" i="20" s="1"/>
  <c r="S34" i="21"/>
  <c r="M73" i="20"/>
  <c r="C12" i="20"/>
  <c r="C8" i="20"/>
  <c r="C11" i="20" s="1"/>
  <c r="E36" i="21"/>
  <c r="E38" i="21" s="1"/>
  <c r="E34" i="21"/>
  <c r="E37" i="21"/>
  <c r="E39" i="21" s="1"/>
  <c r="AE37" i="21"/>
  <c r="AE36" i="21"/>
  <c r="Y4" i="20"/>
  <c r="AE34" i="21"/>
  <c r="Y73" i="20"/>
  <c r="Y80" i="20"/>
  <c r="Y83" i="20" s="1"/>
  <c r="Y84" i="20" s="1"/>
  <c r="Y85" i="20" s="1"/>
  <c r="Z83" i="20"/>
  <c r="AC36" i="21"/>
  <c r="W4" i="20"/>
  <c r="AC37" i="21"/>
  <c r="W73" i="20"/>
  <c r="W80" i="20"/>
  <c r="W83" i="20" s="1"/>
  <c r="AC34" i="21"/>
  <c r="X83" i="20"/>
  <c r="B8" i="20"/>
  <c r="B11" i="20" s="1"/>
  <c r="B12" i="20"/>
  <c r="U39" i="21"/>
  <c r="O82" i="20"/>
  <c r="O86" i="20" s="1"/>
  <c r="S82" i="20"/>
  <c r="S86" i="20" s="1"/>
  <c r="Y39" i="21"/>
  <c r="Q36" i="21"/>
  <c r="K4" i="20"/>
  <c r="Q34" i="21"/>
  <c r="K80" i="20"/>
  <c r="K83" i="20" s="1"/>
  <c r="K73" i="20"/>
  <c r="Q37" i="21"/>
  <c r="L83" i="20"/>
  <c r="H86" i="20"/>
  <c r="Q82" i="20"/>
  <c r="O84" i="20"/>
  <c r="O85" i="20" s="1"/>
  <c r="O87" i="20" s="1"/>
  <c r="F22" i="20"/>
  <c r="F21" i="20"/>
  <c r="P22" i="20"/>
  <c r="P21" i="20"/>
  <c r="S84" i="20"/>
  <c r="S85" i="20" s="1"/>
  <c r="S87" i="20" s="1"/>
  <c r="J21" i="20"/>
  <c r="J22" i="20"/>
  <c r="Q8" i="20"/>
  <c r="Q11" i="20" s="1"/>
  <c r="Q12" i="20"/>
  <c r="Q22" i="20"/>
  <c r="P94" i="17"/>
  <c r="F109" i="17"/>
  <c r="F106" i="17"/>
  <c r="L109" i="17"/>
  <c r="L106" i="17"/>
  <c r="C106" i="17"/>
  <c r="C109" i="17"/>
  <c r="B109" i="17"/>
  <c r="B106" i="17"/>
  <c r="P109" i="17"/>
  <c r="P106" i="17"/>
  <c r="I106" i="17"/>
  <c r="I109" i="17"/>
  <c r="G109" i="17"/>
  <c r="G106" i="17"/>
  <c r="K109" i="17"/>
  <c r="K106" i="17"/>
  <c r="O109" i="17"/>
  <c r="O106" i="17"/>
  <c r="E109" i="17"/>
  <c r="E106" i="17"/>
  <c r="M109" i="17"/>
  <c r="M106" i="17"/>
  <c r="D109" i="17"/>
  <c r="D106" i="17"/>
  <c r="H109" i="17"/>
  <c r="H106" i="17"/>
  <c r="E94" i="17"/>
  <c r="E116" i="17"/>
  <c r="J106" i="17"/>
  <c r="J109" i="17"/>
  <c r="N106" i="17"/>
  <c r="N109" i="17"/>
  <c r="L94" i="17"/>
  <c r="Q94" i="17"/>
  <c r="D94" i="17"/>
  <c r="C94" i="17"/>
  <c r="B94" i="17"/>
  <c r="H94" i="17"/>
  <c r="G94" i="17"/>
  <c r="F94" i="17"/>
  <c r="J94" i="17"/>
  <c r="I94" i="17"/>
  <c r="M94" i="17"/>
  <c r="O83" i="17"/>
  <c r="N94" i="17"/>
  <c r="K94" i="17"/>
  <c r="L83" i="17"/>
  <c r="J83" i="17"/>
  <c r="D78" i="10"/>
  <c r="E154" i="10" s="1"/>
  <c r="D145" i="10"/>
  <c r="I78" i="10"/>
  <c r="I145" i="10"/>
  <c r="H124" i="10"/>
  <c r="F78" i="10"/>
  <c r="F154" i="10" s="1"/>
  <c r="F145" i="10"/>
  <c r="L78" i="10"/>
  <c r="L154" i="10" s="1"/>
  <c r="L145" i="10"/>
  <c r="G78" i="10"/>
  <c r="G154" i="10" s="1"/>
  <c r="G145" i="10"/>
  <c r="K78" i="10"/>
  <c r="K145" i="10"/>
  <c r="Q78" i="10"/>
  <c r="Q145" i="10"/>
  <c r="N145" i="10"/>
  <c r="J145" i="10"/>
  <c r="O78" i="10"/>
  <c r="O154" i="10" s="1"/>
  <c r="E145" i="10"/>
  <c r="E124" i="10"/>
  <c r="J78" i="10"/>
  <c r="J154" i="10" s="1"/>
  <c r="H78" i="10"/>
  <c r="H154" i="10" s="1"/>
  <c r="H145" i="10"/>
  <c r="C78" i="10"/>
  <c r="C154" i="10" s="1"/>
  <c r="M124" i="10"/>
  <c r="P78" i="10"/>
  <c r="P145" i="10"/>
  <c r="N124" i="10"/>
  <c r="C91" i="10"/>
  <c r="D91" i="10"/>
  <c r="M91" i="10"/>
  <c r="G91" i="10"/>
  <c r="L91" i="10"/>
  <c r="J91" i="10"/>
  <c r="Q21" i="10"/>
  <c r="Q24" i="10" s="1"/>
  <c r="Q91" i="10"/>
  <c r="H21" i="10"/>
  <c r="H24" i="10" s="1"/>
  <c r="H91" i="10"/>
  <c r="P21" i="10"/>
  <c r="P24" i="10" s="1"/>
  <c r="P91" i="10"/>
  <c r="E21" i="10"/>
  <c r="E24" i="10" s="1"/>
  <c r="E91" i="10"/>
  <c r="O21" i="10"/>
  <c r="O91" i="10"/>
  <c r="F21" i="10"/>
  <c r="F91" i="10"/>
  <c r="K91" i="10"/>
  <c r="I21" i="10"/>
  <c r="I24" i="10" s="1"/>
  <c r="I91" i="10"/>
  <c r="G21" i="10"/>
  <c r="C21" i="10"/>
  <c r="M21" i="10"/>
  <c r="K21" i="10"/>
  <c r="L21" i="10"/>
  <c r="J21" i="10"/>
  <c r="B24" i="10"/>
  <c r="D21" i="10"/>
  <c r="N21" i="10"/>
  <c r="Q107" i="17" l="1"/>
  <c r="Q110" i="17"/>
  <c r="R87" i="20"/>
  <c r="P39" i="21"/>
  <c r="J82" i="20"/>
  <c r="J86" i="20" s="1"/>
  <c r="K76" i="20"/>
  <c r="K74" i="20"/>
  <c r="T87" i="20"/>
  <c r="K84" i="20"/>
  <c r="K85" i="20" s="1"/>
  <c r="K87" i="20" s="1"/>
  <c r="S39" i="21"/>
  <c r="M82" i="20"/>
  <c r="M86" i="20" s="1"/>
  <c r="T39" i="21"/>
  <c r="AE39" i="21"/>
  <c r="Y82" i="20"/>
  <c r="Y86" i="20" s="1"/>
  <c r="Y87" i="20" s="1"/>
  <c r="AF39" i="21"/>
  <c r="Z86" i="20"/>
  <c r="D74" i="20"/>
  <c r="D76" i="20"/>
  <c r="L39" i="21"/>
  <c r="F82" i="20"/>
  <c r="F86" i="20" s="1"/>
  <c r="E84" i="20"/>
  <c r="E85" i="20"/>
  <c r="E87" i="20" s="1"/>
  <c r="J12" i="20"/>
  <c r="J8" i="20"/>
  <c r="J11" i="20" s="1"/>
  <c r="K12" i="20"/>
  <c r="K8" i="20"/>
  <c r="K11" i="20" s="1"/>
  <c r="W85" i="20"/>
  <c r="W84" i="20"/>
  <c r="G84" i="20"/>
  <c r="G85" i="20"/>
  <c r="P8" i="20"/>
  <c r="P11" i="20" s="1"/>
  <c r="P12" i="20"/>
  <c r="J39" i="21"/>
  <c r="D82" i="20"/>
  <c r="D86" i="20" s="1"/>
  <c r="K38" i="21"/>
  <c r="Y76" i="20"/>
  <c r="Y74" i="20"/>
  <c r="M85" i="20"/>
  <c r="M87" i="20" s="1"/>
  <c r="M84" i="20"/>
  <c r="B84" i="20"/>
  <c r="B85" i="20"/>
  <c r="S38" i="21"/>
  <c r="T38" i="21"/>
  <c r="X84" i="20"/>
  <c r="X85" i="20" s="1"/>
  <c r="X87" i="20" s="1"/>
  <c r="P74" i="20"/>
  <c r="P76" i="20"/>
  <c r="J76" i="20"/>
  <c r="J74" i="20"/>
  <c r="F39" i="21"/>
  <c r="AC39" i="21"/>
  <c r="W82" i="20"/>
  <c r="W86" i="20" s="1"/>
  <c r="AD39" i="21"/>
  <c r="X86" i="20"/>
  <c r="G8" i="20"/>
  <c r="G11" i="20" s="1"/>
  <c r="G12" i="20"/>
  <c r="W38" i="21"/>
  <c r="D84" i="20"/>
  <c r="D85" i="20" s="1"/>
  <c r="D87" i="20" s="1"/>
  <c r="Q39" i="21"/>
  <c r="K82" i="20"/>
  <c r="K86" i="20" s="1"/>
  <c r="R39" i="21"/>
  <c r="L86" i="20"/>
  <c r="E74" i="20"/>
  <c r="E76" i="20"/>
  <c r="E8" i="20"/>
  <c r="E11" i="20" s="1"/>
  <c r="E12" i="20"/>
  <c r="W76" i="20"/>
  <c r="W74" i="20"/>
  <c r="H38" i="21"/>
  <c r="F38" i="21"/>
  <c r="W12" i="20"/>
  <c r="W8" i="20"/>
  <c r="W11" i="20" s="1"/>
  <c r="G82" i="20"/>
  <c r="G86" i="20" s="1"/>
  <c r="M39" i="21"/>
  <c r="N39" i="21"/>
  <c r="N86" i="20"/>
  <c r="N87" i="20" s="1"/>
  <c r="D8" i="20"/>
  <c r="D11" i="20" s="1"/>
  <c r="D12" i="20"/>
  <c r="R8" i="20"/>
  <c r="R11" i="20" s="1"/>
  <c r="R12" i="20"/>
  <c r="B86" i="20"/>
  <c r="AB39" i="21"/>
  <c r="V82" i="20"/>
  <c r="V86" i="20" s="1"/>
  <c r="V87" i="20" s="1"/>
  <c r="V12" i="20"/>
  <c r="V8" i="20"/>
  <c r="V11" i="20" s="1"/>
  <c r="M8" i="20"/>
  <c r="M11" i="20" s="1"/>
  <c r="M12" i="20"/>
  <c r="Y8" i="20"/>
  <c r="Y11" i="20" s="1"/>
  <c r="Y12" i="20"/>
  <c r="F84" i="20"/>
  <c r="F85" i="20" s="1"/>
  <c r="F87" i="20" s="1"/>
  <c r="Y38" i="21"/>
  <c r="Q38" i="21"/>
  <c r="R38" i="21"/>
  <c r="M38" i="21"/>
  <c r="N38" i="21"/>
  <c r="K39" i="21"/>
  <c r="E82" i="20"/>
  <c r="E86" i="20" s="1"/>
  <c r="AC38" i="21"/>
  <c r="AD38" i="21"/>
  <c r="G76" i="20"/>
  <c r="G74" i="20"/>
  <c r="R76" i="20"/>
  <c r="R74" i="20"/>
  <c r="H39" i="21"/>
  <c r="L84" i="20"/>
  <c r="L85" i="20"/>
  <c r="L87" i="20" s="1"/>
  <c r="J84" i="20"/>
  <c r="J85" i="20"/>
  <c r="J87" i="20" s="1"/>
  <c r="P82" i="20"/>
  <c r="P86" i="20" s="1"/>
  <c r="V39" i="21"/>
  <c r="F76" i="20"/>
  <c r="F74" i="20"/>
  <c r="F12" i="20"/>
  <c r="F8" i="20"/>
  <c r="F11" i="20" s="1"/>
  <c r="AE38" i="21"/>
  <c r="AF38" i="21"/>
  <c r="P84" i="20"/>
  <c r="P85" i="20"/>
  <c r="P87" i="20" s="1"/>
  <c r="Q86" i="20"/>
  <c r="Q87" i="20" s="1"/>
  <c r="Z84" i="20"/>
  <c r="Z85" i="20" s="1"/>
  <c r="Z87" i="20" s="1"/>
  <c r="M74" i="20"/>
  <c r="M76" i="20"/>
  <c r="X39" i="21"/>
  <c r="R82" i="20"/>
  <c r="R86" i="20" s="1"/>
  <c r="V76" i="20"/>
  <c r="V74" i="20"/>
  <c r="H87" i="20"/>
  <c r="M154" i="10"/>
  <c r="P154" i="10"/>
  <c r="Q154" i="10"/>
  <c r="I154" i="10"/>
  <c r="K154" i="10"/>
  <c r="D154" i="10"/>
  <c r="L96" i="10"/>
  <c r="I99" i="10"/>
  <c r="M96" i="10"/>
  <c r="J96" i="10"/>
  <c r="C24" i="10"/>
  <c r="C99" i="10" s="1"/>
  <c r="C96" i="10"/>
  <c r="F96" i="10"/>
  <c r="F24" i="10"/>
  <c r="F99" i="10" s="1"/>
  <c r="G24" i="10"/>
  <c r="H99" i="10" s="1"/>
  <c r="G96" i="10"/>
  <c r="O96" i="10"/>
  <c r="E96" i="10"/>
  <c r="P96" i="10"/>
  <c r="O24" i="10"/>
  <c r="N96" i="10"/>
  <c r="D96" i="10"/>
  <c r="Q99" i="10"/>
  <c r="H96" i="10"/>
  <c r="I96" i="10"/>
  <c r="K96" i="10"/>
  <c r="Q96" i="10"/>
  <c r="J24" i="10"/>
  <c r="J99" i="10" s="1"/>
  <c r="L24" i="10"/>
  <c r="K24" i="10"/>
  <c r="M24" i="10"/>
  <c r="N24" i="10"/>
  <c r="D24" i="10"/>
  <c r="P33" i="11"/>
  <c r="Q33" i="11" s="1"/>
  <c r="G87" i="20" l="1"/>
  <c r="B87" i="20"/>
  <c r="W87" i="20"/>
  <c r="G99" i="10"/>
  <c r="O99" i="10"/>
  <c r="N99" i="10"/>
  <c r="D99" i="10"/>
  <c r="M99" i="10"/>
  <c r="P99" i="10"/>
  <c r="K99" i="10"/>
  <c r="E99" i="10"/>
  <c r="L99" i="10"/>
  <c r="P110" i="19"/>
  <c r="Q110" i="19" s="1"/>
  <c r="Q97" i="18"/>
  <c r="P97" i="18"/>
  <c r="O97" i="18"/>
  <c r="Q84" i="18"/>
  <c r="P84" i="18"/>
  <c r="O84" i="18"/>
  <c r="P108" i="18"/>
  <c r="Q108" i="18" s="1"/>
  <c r="Q86" i="18"/>
  <c r="P29" i="18"/>
  <c r="Q29" i="18" s="1"/>
  <c r="O86" i="18" l="1"/>
  <c r="O98" i="18"/>
  <c r="P86" i="18"/>
  <c r="P98" i="18"/>
  <c r="Q98" i="18" l="1"/>
  <c r="B14" i="9"/>
  <c r="B9" i="9"/>
  <c r="B85" i="9" s="1"/>
  <c r="B15" i="9" l="1"/>
  <c r="B18" i="9" l="1"/>
  <c r="B21" i="9" s="1"/>
  <c r="B86" i="9"/>
  <c r="Q92" i="11"/>
  <c r="P92" i="11"/>
  <c r="B91" i="9" l="1"/>
  <c r="B87" i="9"/>
  <c r="B90" i="9"/>
  <c r="B25" i="9"/>
  <c r="B88" i="9" s="1"/>
  <c r="Q109" i="17" l="1"/>
  <c r="Q106" i="17"/>
  <c r="Q104" i="17"/>
  <c r="G115" i="17" l="1"/>
  <c r="N115" i="17"/>
  <c r="M115" i="17"/>
  <c r="L115" i="17"/>
  <c r="I115" i="17"/>
  <c r="F115" i="17"/>
  <c r="O115" i="17"/>
  <c r="H115" i="17"/>
  <c r="E115" i="17"/>
  <c r="Q115" i="17"/>
  <c r="P115" i="17"/>
  <c r="D115" i="17"/>
  <c r="C115" i="17"/>
  <c r="K115" i="17"/>
  <c r="J11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Q88" authorId="0" shapeId="0" xr:uid="{265B2BC5-33F3-4C4E-9D46-81F9FE8E3328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Mid August - Post Split</t>
        </r>
      </text>
    </comment>
    <comment ref="Q101" authorId="0" shapeId="0" xr:uid="{DA4386F8-7D35-47E2-9427-850A208D0429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Post split</t>
        </r>
      </text>
    </comment>
    <comment ref="Q106" authorId="0" shapeId="0" xr:uid="{8791FDD8-F7BE-4498-9150-039D5FC2CBD9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Overvalued</t>
        </r>
      </text>
    </comment>
    <comment ref="Q107" authorId="0" shapeId="0" xr:uid="{876FFD84-02A2-4540-BE2E-1F105B043008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Post Split</t>
        </r>
      </text>
    </comment>
    <comment ref="U116" authorId="0" shapeId="0" xr:uid="{4F0A3732-6E3D-49AB-9844-BAC6043A25CE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Equity multiplier -&gt; Total Assets/Total Equity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AI5" authorId="0" shapeId="0" xr:uid="{00000000-0006-0000-0000-000001000000}">
      <text>
        <r>
          <rPr>
            <sz val="11"/>
            <color theme="1"/>
            <rFont val="Calibri"/>
            <family val="2"/>
          </rPr>
          <t>Simba Choga:
Revenue</t>
        </r>
      </text>
    </comment>
    <comment ref="AI7" authorId="0" shapeId="0" xr:uid="{00000000-0006-0000-0000-000002000000}">
      <text>
        <r>
          <rPr>
            <sz val="11"/>
            <color theme="1"/>
            <rFont val="Calibri"/>
            <family val="2"/>
          </rPr>
          <t>Simba Choga:
COGS</t>
        </r>
      </text>
    </comment>
    <comment ref="AI20" authorId="0" shapeId="0" xr:uid="{00000000-0006-0000-0000-000003000000}">
      <text>
        <r>
          <rPr>
            <sz val="11"/>
            <color theme="1"/>
            <rFont val="Calibri"/>
            <family val="2"/>
          </rPr>
          <t>Simba Choga:
Operation expense</t>
        </r>
      </text>
    </comment>
    <comment ref="L41" authorId="0" shapeId="0" xr:uid="{00000000-0006-0000-0000-000004000000}">
      <text>
        <r>
          <rPr>
            <sz val="11"/>
            <color theme="1"/>
            <rFont val="Calibri"/>
            <family val="2"/>
          </rPr>
          <t>Simba Choga:
Retrieved 2004 &amp; 2005 information from the 2009 financial statement- Page 33</t>
        </r>
      </text>
    </comment>
    <comment ref="AI61" authorId="0" shapeId="0" xr:uid="{00000000-0006-0000-0000-000005000000}">
      <text>
        <r>
          <rPr>
            <sz val="11"/>
            <color theme="1"/>
            <rFont val="Calibri"/>
            <family val="2"/>
          </rPr>
          <t>Simba Choga:
Property plant and equipment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L44" authorId="0" shapeId="0" xr:uid="{B0EE2744-1DF8-48FC-9AE4-6D52A2C9845C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Monster's revenue grew 14.1%, primarily because it sold 17.3% more product, with approximately 2.8% drop in price from the price/mix.</t>
        </r>
      </text>
    </comment>
  </commentList>
</comments>
</file>

<file path=xl/sharedStrings.xml><?xml version="1.0" encoding="utf-8"?>
<sst xmlns="http://schemas.openxmlformats.org/spreadsheetml/2006/main" count="1066" uniqueCount="336">
  <si>
    <t>Revenue</t>
  </si>
  <si>
    <t>Growth Rates</t>
  </si>
  <si>
    <t>Profitability Ratios</t>
  </si>
  <si>
    <t>Efficiency Ratios</t>
  </si>
  <si>
    <t>Leverage Ratios</t>
  </si>
  <si>
    <t>Cash flow Analysis</t>
  </si>
  <si>
    <t>Valuation Analysis</t>
  </si>
  <si>
    <t>Scenario and Sensitivity</t>
  </si>
  <si>
    <t>Variance Analysis</t>
  </si>
  <si>
    <t>Divide all the like items by revenue, in come statement. Allows comparison with other companies in the same industry</t>
  </si>
  <si>
    <t>Vertical Analysis/Common Sized Income Statement</t>
  </si>
  <si>
    <t>Move across the income statement, comparing year over year performance</t>
  </si>
  <si>
    <t>Horizontal Analysis/Trend Analysis</t>
  </si>
  <si>
    <t>Shows how much debt is present compared to</t>
  </si>
  <si>
    <t xml:space="preserve">Looks at historical performance an allows for projection of future performance </t>
  </si>
  <si>
    <t>Income compare to revenue</t>
  </si>
  <si>
    <t>Short term ability to meet obligations</t>
  </si>
  <si>
    <t>Balance sheet and ability to generate revenue</t>
  </si>
  <si>
    <t>Clear picture on how much cash a company is generating</t>
  </si>
  <si>
    <t>Return for an investor</t>
  </si>
  <si>
    <t>Cost approach -&gt; Cost to build &amp; Replacement cost; Market approach (relative value) -&gt; Public company comparables &amp; Precedent transactions; DCF -&gt; Forecast future cash flows</t>
  </si>
  <si>
    <t>Can be layered on top of valuation work. Looks to understand how sensitive the value of a company is relative to changes in operating assumptions. Different scenarios can be used to better understand outcome.</t>
  </si>
  <si>
    <t>Is the process of comparing actual results to budget or forecast</t>
  </si>
  <si>
    <t>Gross profit margin; EBITDA margin; EBIT magin; Net Profit margin</t>
  </si>
  <si>
    <t>Debt to Equity; Debt to EBITDA; EBIT to Interest (Interest Coverage); Dupont analysis (a combination of ratios, often referred to as the pyramid of ratios, including leverage and liquidity analysis)</t>
  </si>
  <si>
    <t>Year-over-year; regression analysis; Bottom-up analysis (starting with individual drivers of revenue in the business); Top-down analysis (starting with market size and market share); Other forecasting methods</t>
  </si>
  <si>
    <t xml:space="preserve">Current ratio; Acid test ratio; Cash ratio; Net working capital </t>
  </si>
  <si>
    <t>Inventory turnover (days in inventor); Accounts receivable turnover (days receivable); Accounts payable turnover (days payable); Asset turnover, Fixed asset turnover, Cash conversion</t>
  </si>
  <si>
    <t>Operating cash flow (OCF); Free cash flow (FCF); Free cash flow to the firm (FCFF); Free cash flow to equity (FCFE)</t>
  </si>
  <si>
    <t>ROE; ROA; ROIC; Dividend yield; Capital gain; Accounting rate of return (ARR); Internal rate of return (IRR)</t>
  </si>
  <si>
    <t>Liquidity Ratios</t>
  </si>
  <si>
    <t>Rates of Return (ROI) Ratios</t>
  </si>
  <si>
    <t/>
  </si>
  <si>
    <t>Income compared to revenue &amp; cogs</t>
  </si>
  <si>
    <t>Profitability Ratios:</t>
  </si>
  <si>
    <t>Liquidity Ratios:</t>
  </si>
  <si>
    <t>Efficiency Ratios:</t>
  </si>
  <si>
    <t>Leverage Ratios:</t>
  </si>
  <si>
    <t>Current Ratio</t>
  </si>
  <si>
    <t>Acid Test Ratio</t>
  </si>
  <si>
    <t>Net Working Capital</t>
  </si>
  <si>
    <t>Debt to Equity</t>
  </si>
  <si>
    <t>Accounts Receivables Collection Period. Days</t>
  </si>
  <si>
    <t>Inventory Processing Period. days</t>
  </si>
  <si>
    <t>Accounts Payable Turnover Ratio. times</t>
  </si>
  <si>
    <t>Accounts Receivables Turnover Ratio. times</t>
  </si>
  <si>
    <t>Inventory Turnover Ratio. times</t>
  </si>
  <si>
    <t>Accounts Payable Payment Period. Days</t>
  </si>
  <si>
    <t>Asset Turnover Ratio. times</t>
  </si>
  <si>
    <t>Long-Term Debt to Total Capital %</t>
  </si>
  <si>
    <t>Revenue Growth rate</t>
  </si>
  <si>
    <t>Gross Profit %</t>
  </si>
  <si>
    <t>Net Profit Margin %</t>
  </si>
  <si>
    <t>ROE %</t>
  </si>
  <si>
    <t>ROA %</t>
  </si>
  <si>
    <t>Vertical anlysis</t>
  </si>
  <si>
    <t>Net Profit Ratio</t>
  </si>
  <si>
    <t>Tax Ratio</t>
  </si>
  <si>
    <t>Interest Coverage Ratio</t>
  </si>
  <si>
    <t>Move across the income statement, comparing year over year performance (dividing each line item by revenue)</t>
  </si>
  <si>
    <t>Cross Sectional Techniques</t>
  </si>
  <si>
    <t>Gross Profit Ratio</t>
  </si>
  <si>
    <t>Investment Performance Ratio (Market ratios)</t>
  </si>
  <si>
    <t>Sustainable Growth Rate (SGR)</t>
  </si>
  <si>
    <t>Du Pont Analysis</t>
  </si>
  <si>
    <t>Solvency and Net Asset Value (NAV)</t>
  </si>
  <si>
    <t>Name</t>
  </si>
  <si>
    <t>Solvency</t>
  </si>
  <si>
    <t>Net Asset Value</t>
  </si>
  <si>
    <t>Net Asset value/Number of shares in issue -&gt; excluding the Non controlling shareholders interest (NCI)</t>
  </si>
  <si>
    <t>Dividend yield</t>
  </si>
  <si>
    <t>Dividend per share/ Market price per share</t>
  </si>
  <si>
    <t>Capital gains/Capital yield</t>
  </si>
  <si>
    <t>(Price1 - Price0)/Price0</t>
  </si>
  <si>
    <t>Headline Earnings Per Share</t>
  </si>
  <si>
    <t>Headline earnings/Weighted No. of Class A shares in issue</t>
  </si>
  <si>
    <t>Payout ratio</t>
  </si>
  <si>
    <t>Dividends per share/headline earnings per share</t>
  </si>
  <si>
    <t>Retention ratio</t>
  </si>
  <si>
    <t>1- Payout ratio</t>
  </si>
  <si>
    <t>Price earnings ratio</t>
  </si>
  <si>
    <t>Market price end of year/ Headline earnings per share</t>
  </si>
  <si>
    <t>Earnings yield</t>
  </si>
  <si>
    <t>EPS/Market price per share</t>
  </si>
  <si>
    <t>Market capitalisation - (Total equity - NCI)</t>
  </si>
  <si>
    <t>Market value added/ MVA per share</t>
  </si>
  <si>
    <t>Market Price to Book</t>
  </si>
  <si>
    <t>Market capitalisation/ Equity (Net of NCI)</t>
  </si>
  <si>
    <t>Sustainable growth ratio</t>
  </si>
  <si>
    <t>ROE * Retention ratio</t>
  </si>
  <si>
    <t>ROE = Net margin*Total asset turnover*Equity multiplier</t>
  </si>
  <si>
    <t>Du pont analysis</t>
  </si>
  <si>
    <t>Average equity</t>
  </si>
  <si>
    <t>Average assets</t>
  </si>
  <si>
    <t>EBITDA</t>
  </si>
  <si>
    <t>COGS/Average inventory</t>
  </si>
  <si>
    <t>Revenue/Average Receivables</t>
  </si>
  <si>
    <t>Revenue/Average Assets</t>
  </si>
  <si>
    <t>..</t>
  </si>
  <si>
    <t>360/COGS/Average inventory</t>
  </si>
  <si>
    <t>360/Revenue/Average Receivables</t>
  </si>
  <si>
    <t>Cogs/Average Accounts Payable</t>
  </si>
  <si>
    <t>360/COGS/Average Accounts Payable</t>
  </si>
  <si>
    <t>Interest/Pretax Income</t>
  </si>
  <si>
    <t>EBIT/Interest expense</t>
  </si>
  <si>
    <t>Common sized</t>
  </si>
  <si>
    <t>Monster-US</t>
  </si>
  <si>
    <t>Income Statement ($'000)</t>
  </si>
  <si>
    <t>FY2025A</t>
  </si>
  <si>
    <t>Cost of sales</t>
  </si>
  <si>
    <t>Gross margin</t>
  </si>
  <si>
    <t>Freight-Out Costs</t>
  </si>
  <si>
    <t>Advertising and Promotional Expenses</t>
  </si>
  <si>
    <t>Other expenses</t>
  </si>
  <si>
    <t>Total Operating Costs</t>
  </si>
  <si>
    <t>Depreciation</t>
  </si>
  <si>
    <t>EBIT</t>
  </si>
  <si>
    <t>INTEREST AND OTHER INCOME (EXPENSE), NET</t>
  </si>
  <si>
    <t>INCOME BEFORE PROVISION FOR INCOME TAXES</t>
  </si>
  <si>
    <t>PROVISION FOR INCOME TAXES</t>
  </si>
  <si>
    <t>Tax Rate</t>
  </si>
  <si>
    <t>NET INCOME</t>
  </si>
  <si>
    <t>FY2023A</t>
  </si>
  <si>
    <t>FY2024A</t>
  </si>
  <si>
    <t>Cash and cash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</si>
  <si>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</si>
  <si>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</si>
  <si>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</si>
  <si>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</si>
  <si>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</si>
  <si>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Accounts payable</t>
  </si>
  <si>
    <t>Accrued liabilities</t>
  </si>
  <si>
    <t>Accrued promotional allowances</t>
  </si>
  <si>
    <t>Deferred revenue</t>
  </si>
  <si>
    <t>Accrued compensation</t>
  </si>
  <si>
    <t>Income taxes payable</t>
  </si>
  <si>
    <t>Additional paid-in capital</t>
  </si>
  <si>
    <t>Balance Sheet ($'000)</t>
  </si>
  <si>
    <t>Total Assets&gt; Total liability</t>
  </si>
  <si>
    <t>Share price August 2026</t>
  </si>
  <si>
    <t>Investment Ratios ($'000)</t>
  </si>
  <si>
    <t>Financial Ratios ($'000)</t>
  </si>
  <si>
    <t>Net sales</t>
  </si>
  <si>
    <t>Gross profit</t>
  </si>
  <si>
    <t>Selling, general and administrative</t>
  </si>
  <si>
    <t>Freight-Out-Cots</t>
  </si>
  <si>
    <t>Advertising and Promotional</t>
  </si>
  <si>
    <t>Other Expenses</t>
  </si>
  <si>
    <t>Total Operating expenses</t>
  </si>
  <si>
    <t>Operating income (loss)</t>
  </si>
  <si>
    <t>Interest income</t>
  </si>
  <si>
    <t>Interest expense</t>
  </si>
  <si>
    <t>Other income (expense), net</t>
  </si>
  <si>
    <t>Income before income taxes</t>
  </si>
  <si>
    <t>Provision for income taxes</t>
  </si>
  <si>
    <t>Net income (loss)</t>
  </si>
  <si>
    <t>EBIT (Operating Profit) Ratio</t>
  </si>
  <si>
    <t>Intangibles held-for-sale</t>
  </si>
  <si>
    <t>Prepaid Income Taxes</t>
  </si>
  <si>
    <t>Deferred income tax</t>
  </si>
  <si>
    <t>Long-term assets</t>
  </si>
  <si>
    <t>Investments</t>
  </si>
  <si>
    <t>Property and equipment, net</t>
  </si>
  <si>
    <t>Deferred Income Taxes</t>
  </si>
  <si>
    <t>Intangible assets, net</t>
  </si>
  <si>
    <t>Goodwill</t>
  </si>
  <si>
    <t>Other assets</t>
  </si>
  <si>
    <t>Total long-term assets</t>
  </si>
  <si>
    <t>Total assets</t>
  </si>
  <si>
    <t>Current liabilitiies</t>
  </si>
  <si>
    <t>Short term debt</t>
  </si>
  <si>
    <t>Accrued distributor terminations</t>
  </si>
  <si>
    <t>Customer deposit liabilities</t>
  </si>
  <si>
    <t>Current portion of long-term debt</t>
  </si>
  <si>
    <t>Total current liabilities</t>
  </si>
  <si>
    <t>Long-term liabilities</t>
  </si>
  <si>
    <t>Long-term debt</t>
  </si>
  <si>
    <t>Deferred income taxes</t>
  </si>
  <si>
    <t>Other Liabilities</t>
  </si>
  <si>
    <t>Total long term liabilities</t>
  </si>
  <si>
    <t>Total liabilities</t>
  </si>
  <si>
    <t>Equity</t>
  </si>
  <si>
    <t>Common stock</t>
  </si>
  <si>
    <t>Retained earnings / accumulated deficit</t>
  </si>
  <si>
    <t>Accumulated other comprehensive income (loss)</t>
  </si>
  <si>
    <t>Treasury stock</t>
  </si>
  <si>
    <t>Total stockholders' equity</t>
  </si>
  <si>
    <t>Total liabilities and stockholders' equity</t>
  </si>
  <si>
    <t>Index Analysis</t>
  </si>
  <si>
    <t>Current assets</t>
  </si>
  <si>
    <t>Revenue 15yr CAGR</t>
  </si>
  <si>
    <t>EBIT Margin %</t>
  </si>
  <si>
    <t>Basic weighted average shares</t>
  </si>
  <si>
    <t>Diluted weighted average shares</t>
  </si>
  <si>
    <t>Price earnings ratio (Mid August)</t>
  </si>
  <si>
    <t>Difference / Check</t>
  </si>
  <si>
    <t>Reported Diluted EPS Growth</t>
  </si>
  <si>
    <t>Implied EPS Growth</t>
  </si>
  <si>
    <t>Share-Count Contribution to EPS Growth</t>
  </si>
  <si>
    <t>Net Income Growth</t>
  </si>
  <si>
    <t>Diluted EPS (Reported)</t>
  </si>
  <si>
    <t>Diluted Weighted Average Shares</t>
  </si>
  <si>
    <t>Net Income</t>
  </si>
  <si>
    <t>EPS Growth Decomposition: Operations vs Buybacks</t>
  </si>
  <si>
    <t>FCF Margin</t>
  </si>
  <si>
    <t>FCF / Net Income</t>
  </si>
  <si>
    <t>Free Cash Flow</t>
  </si>
  <si>
    <t>CFO / Net Income</t>
  </si>
  <si>
    <t>Cash Flow from Operations</t>
  </si>
  <si>
    <t>CFO/NI and FCF/NI Earnings-Quality Analysis</t>
  </si>
  <si>
    <t>Δ Operating NWC / Δ Revenue</t>
  </si>
  <si>
    <t>Operating NWC / Revenue</t>
  </si>
  <si>
    <t>Operating NWC</t>
  </si>
  <si>
    <t>Cash Conversion Cycle</t>
  </si>
  <si>
    <t>Days Payables Outstanding (DPO)</t>
  </si>
  <si>
    <t>Days Inventory Outstanding (DIO)</t>
  </si>
  <si>
    <t>Days Sales Outstanding (DSO)</t>
  </si>
  <si>
    <t>Accounts Payable</t>
  </si>
  <si>
    <t>Inventory</t>
  </si>
  <si>
    <t>Accounts Receivable</t>
  </si>
  <si>
    <t>Cash Conversion Cycle + NWC Efficiency</t>
  </si>
  <si>
    <t>Total Operating Expenses / Revenue</t>
  </si>
  <si>
    <t>Other Expenses / Revenue</t>
  </si>
  <si>
    <t>Advertising &amp; Promotional / Revenue</t>
  </si>
  <si>
    <t>Freight-Out Costs / Revenue</t>
  </si>
  <si>
    <t>EBIT Margin</t>
  </si>
  <si>
    <t>Operating Income (EBIT)</t>
  </si>
  <si>
    <t>EBITDA Margin</t>
  </si>
  <si>
    <t>Depreciation &amp; Amortization</t>
  </si>
  <si>
    <t>Gross Margin</t>
  </si>
  <si>
    <t>Gross Profit</t>
  </si>
  <si>
    <t>Gross → EBITDA → EBIT Margin Bridge</t>
  </si>
  <si>
    <t>Data Availability</t>
  </si>
  <si>
    <t>Price / Mix Contribution</t>
  </si>
  <si>
    <t>Volume Growth</t>
  </si>
  <si>
    <t>Revenue Growth</t>
  </si>
  <si>
    <t>Volume vs Price/Mix Revenue Bridge</t>
  </si>
  <si>
    <t>FCF / Diluted Share</t>
  </si>
  <si>
    <t>Net Change in Cash</t>
  </si>
  <si>
    <t>YoY Diluted Share Count Change</t>
  </si>
  <si>
    <t>Debt Repayments</t>
  </si>
  <si>
    <t>Debt Issuance</t>
  </si>
  <si>
    <t>Buybacks / FCF</t>
  </si>
  <si>
    <t>Share Repurchases</t>
  </si>
  <si>
    <t>Acquisition Spend</t>
  </si>
  <si>
    <t>Intangible CapEx</t>
  </si>
  <si>
    <t>PP&amp;E CapEx</t>
  </si>
  <si>
    <t>Capital Allocation / Buyback Analysis</t>
  </si>
  <si>
    <t>Incremental ROIC</t>
  </si>
  <si>
    <t>ROIC</t>
  </si>
  <si>
    <t>Average Invested Capital</t>
  </si>
  <si>
    <t>Invested Capital</t>
  </si>
  <si>
    <t>Total Debt</t>
  </si>
  <si>
    <t>NOPAT</t>
  </si>
  <si>
    <t>Effective Tax Rate</t>
  </si>
  <si>
    <t>ROIC + Incremental ROIC + ROIC vs WACC</t>
  </si>
  <si>
    <t>ROE (Direct Check)</t>
  </si>
  <si>
    <t>ROE (DuPont)</t>
  </si>
  <si>
    <t>Equity Multiplier</t>
  </si>
  <si>
    <t>Asset Turnover</t>
  </si>
  <si>
    <t>Net Profit Margin</t>
  </si>
  <si>
    <t>Average Stockholders' Equity</t>
  </si>
  <si>
    <t>Average Total Assets</t>
  </si>
  <si>
    <t>Historical DuPont Analysis</t>
  </si>
  <si>
    <t>Metric</t>
  </si>
  <si>
    <t>Cash at end of year</t>
  </si>
  <si>
    <t>Cash at beginning of year</t>
  </si>
  <si>
    <t>Net increase (decrease) in cash</t>
  </si>
  <si>
    <t>Effect of exchange rates on cash</t>
  </si>
  <si>
    <t>Net cash provided by (used in) financing activities</t>
  </si>
  <si>
    <t>Purchases of treasury stock</t>
  </si>
  <si>
    <t>Issuance of common stock</t>
  </si>
  <si>
    <t>Tax benefit from exercise of stock options</t>
  </si>
  <si>
    <t>Payments for debt issuance costs</t>
  </si>
  <si>
    <t>Payments on credit facilitues</t>
  </si>
  <si>
    <t>Principal payments on debt</t>
  </si>
  <si>
    <t>Borrowings / debt issuance</t>
  </si>
  <si>
    <t>Decrease (increase in short term borrowings</t>
  </si>
  <si>
    <t>Net cash provided by (used in) investing activities</t>
  </si>
  <si>
    <t>Decrease (increase) in other assets</t>
  </si>
  <si>
    <t>Decrease (increase) in deposits receivable and assets</t>
  </si>
  <si>
    <t>Decrease (increase) in notes receivable from officers</t>
  </si>
  <si>
    <t>Additions to intangibles</t>
  </si>
  <si>
    <t>Purchases of property and equipment</t>
  </si>
  <si>
    <t>Acquisition of CANarchy, net of cash</t>
  </si>
  <si>
    <t>Acquisition of Bang Energy</t>
  </si>
  <si>
    <t>Purchases of available for sale investments</t>
  </si>
  <si>
    <t>Sales and maturities of held-to-maturity investments</t>
  </si>
  <si>
    <t>Purchases of held to maturity investments</t>
  </si>
  <si>
    <t>Proceeds from sale of property and equipment</t>
  </si>
  <si>
    <t>Purchase of AFF assets, net</t>
  </si>
  <si>
    <t>Proceeds from the sale of Monster Non-Energy</t>
  </si>
  <si>
    <t>Proceeds from the transfer of distribution rights to TCC</t>
  </si>
  <si>
    <t>Sale of trading investments</t>
  </si>
  <si>
    <t>Sale of available for sale investments</t>
  </si>
  <si>
    <t>Maturities/sales of investments</t>
  </si>
  <si>
    <t>Net cash provided by operating activities</t>
  </si>
  <si>
    <t>Other liabilities</t>
  </si>
  <si>
    <t>Income taxes payable change</t>
  </si>
  <si>
    <t>Accrued liabilities change</t>
  </si>
  <si>
    <t>Accounts payable change</t>
  </si>
  <si>
    <t>Prepaid income taxes</t>
  </si>
  <si>
    <t>Prepaid expenses change</t>
  </si>
  <si>
    <t>Inventories change</t>
  </si>
  <si>
    <t>Accounts receivable change</t>
  </si>
  <si>
    <t>Effect on cash of change in operating assets and liabilities</t>
  </si>
  <si>
    <t>Provision for doubtful accounts</t>
  </si>
  <si>
    <t>Impairment of investments</t>
  </si>
  <si>
    <t>Loss on impairment of property and equipment</t>
  </si>
  <si>
    <t>Gain on Bang Transaction</t>
  </si>
  <si>
    <t>Loss on impairment of intangiles</t>
  </si>
  <si>
    <t>Non-cash lease expense</t>
  </si>
  <si>
    <t>Loss (gain) on investments</t>
  </si>
  <si>
    <t>Loss (gain) on put option</t>
  </si>
  <si>
    <t>Stock-based compensation</t>
  </si>
  <si>
    <t>Gain on sale of Monster Non-Energy</t>
  </si>
  <si>
    <t>Gain (loss) on sale of plant and equipment</t>
  </si>
  <si>
    <t>Impairment of operating equipment</t>
  </si>
  <si>
    <t>Amortization of intangibles</t>
  </si>
  <si>
    <t>Depreciation and amortization</t>
  </si>
  <si>
    <t>CASH FLOW STATEMENT</t>
  </si>
  <si>
    <t>% Growth</t>
  </si>
  <si>
    <t>Check</t>
  </si>
  <si>
    <t>5yr</t>
  </si>
  <si>
    <t>10yr</t>
  </si>
  <si>
    <t>20yr</t>
  </si>
  <si>
    <t>31yr</t>
  </si>
  <si>
    <t>% of Revenue</t>
  </si>
  <si>
    <t>BALANCE SHEET</t>
  </si>
  <si>
    <t>Diluted EPS</t>
  </si>
  <si>
    <t>Basic EPS</t>
  </si>
  <si>
    <t>INCOME STATEMENT</t>
  </si>
  <si>
    <t>USD in $'000</t>
  </si>
  <si>
    <t>Monster Beverage Corporation - Historical Financial Statements</t>
  </si>
  <si>
    <t>15yr cagr</t>
  </si>
  <si>
    <t>Average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</si>
</sst>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2" formatCode="_(&quot;$&quot;* #,##0_);_(&quot;$&quot;* \(#,##0\);_(&quot;$&quot;* &quot;-&quot;_);_(@_)"/>
    <numFmt numFmtId="164" formatCode="_-* #,##0.00_-;\-* #,##0.00_-;_-* &quot;-&quot;??_-;_-@_-"/>
    <numFmt numFmtId="165" formatCode="_-* #,##0_-;\-* #,##0_-;_-* &quot;-&quot;??_-;_-@"/>
    <numFmt numFmtId="166" formatCode="0.0%"/>
    <numFmt numFmtId="167" formatCode="0.0&quot;x&quot;"/>
    <numFmt numFmtId="168" formatCode="_-* #,##0_-;\-* #,##0_-;_-* &quot;-&quot;??_-;_-@_-"/>
    <numFmt numFmtId="169" formatCode="&quot;FY&quot;0&quot;A&quot;"/>
    <numFmt numFmtId="170" formatCode="#,##0.0_);\(#,##0.0\)"/>
    <numFmt numFmtId="171" formatCode="_-* #,##0.00_-;\-* #,##0.00_-;_-* &quot;-&quot;??_-;_-@"/>
    <numFmt numFmtId="172" formatCode="#,##0.0;[Red]\(#,##0.0\);\-"/>
    <numFmt numFmtId="173" formatCode="#,##0.0_);[Red]\(#,##0.0\)"/>
    <numFmt numFmtId="174" formatCode="0.0%;[Red]\(0.0%\);\-"/>
    <numFmt numFmtId="175" formatCode="#,##0;[Red]\(#,##0\);\-"/>
    <numFmt numFmtId="176" formatCode="0.0"/>
    <numFmt numFmtId="177" formatCode="0.00\x"/>
    <numFmt numFmtId="178" formatCode="0.00_);\(0.00\)"/>
    <numFmt numFmtId="179" formatCode="0.00;[Red]\(0.00\);\-"/>
  </numFmts>
  <fonts count="5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i/>
      <u/>
      <sz val="11"/>
      <color theme="5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name val="Carlito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3"/>
      <color theme="0"/>
      <name val="Calibri"/>
      <family val="2"/>
    </font>
    <font>
      <i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i/>
      <sz val="11"/>
      <color rgb="FF666666"/>
      <name val="Calibri"/>
      <family val="2"/>
    </font>
    <font>
      <sz val="16"/>
      <color theme="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indexed="64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</borders>
  <cellStyleXfs count="10">
    <xf numFmtId="0" fontId="0" fillId="0" borderId="0"/>
    <xf numFmtId="164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8" fillId="0" borderId="0"/>
    <xf numFmtId="9" fontId="38" fillId="0" borderId="0" applyFont="0" applyFill="0" applyBorder="0" applyAlignment="0" applyProtection="0"/>
    <xf numFmtId="0" fontId="41" fillId="0" borderId="0"/>
  </cellStyleXfs>
  <cellXfs count="169">
    <xf numFmtId="0" fontId="0" fillId="0" borderId="0" xfId="0"/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16" fillId="0" borderId="0" xfId="0" applyFont="1"/>
    <xf numFmtId="0" fontId="15" fillId="0" borderId="0" xfId="0" applyFont="1"/>
    <xf numFmtId="0" fontId="13" fillId="0" borderId="0" xfId="0" applyFont="1"/>
    <xf numFmtId="0" fontId="17" fillId="0" borderId="0" xfId="0" applyFont="1"/>
    <xf numFmtId="42" fontId="19" fillId="0" borderId="0" xfId="0" applyNumberFormat="1" applyFont="1" applyAlignment="1">
      <alignment vertical="top"/>
    </xf>
    <xf numFmtId="165" fontId="19" fillId="0" borderId="0" xfId="0" applyNumberFormat="1" applyFont="1" applyAlignment="1">
      <alignment horizontal="right"/>
    </xf>
    <xf numFmtId="0" fontId="19" fillId="0" borderId="0" xfId="0" applyFont="1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19" fillId="0" borderId="0" xfId="0" applyFont="1" applyAlignment="1">
      <alignment vertical="top" wrapText="1"/>
    </xf>
    <xf numFmtId="0" fontId="11" fillId="0" borderId="0" xfId="0" applyFont="1"/>
    <xf numFmtId="0" fontId="21" fillId="0" borderId="0" xfId="0" applyFont="1"/>
    <xf numFmtId="166" fontId="12" fillId="0" borderId="0" xfId="2" applyNumberFormat="1" applyFont="1"/>
    <xf numFmtId="166" fontId="0" fillId="0" borderId="0" xfId="2" applyNumberFormat="1" applyFont="1"/>
    <xf numFmtId="165" fontId="0" fillId="0" borderId="0" xfId="0" applyNumberFormat="1"/>
    <xf numFmtId="0" fontId="23" fillId="0" borderId="0" xfId="0" applyFont="1"/>
    <xf numFmtId="0" fontId="10" fillId="0" borderId="0" xfId="0" applyFont="1"/>
    <xf numFmtId="0" fontId="9" fillId="0" borderId="0" xfId="0" applyFont="1"/>
    <xf numFmtId="164" fontId="0" fillId="0" borderId="0" xfId="0" applyNumberFormat="1"/>
    <xf numFmtId="0" fontId="24" fillId="0" borderId="0" xfId="0" applyFont="1"/>
    <xf numFmtId="0" fontId="25" fillId="0" borderId="0" xfId="0" applyFont="1"/>
    <xf numFmtId="0" fontId="26" fillId="0" borderId="0" xfId="3"/>
    <xf numFmtId="0" fontId="15" fillId="0" borderId="0" xfId="4" applyFont="1"/>
    <xf numFmtId="0" fontId="8" fillId="0" borderId="0" xfId="4"/>
    <xf numFmtId="165" fontId="19" fillId="0" borderId="0" xfId="4" applyNumberFormat="1" applyFont="1" applyAlignment="1">
      <alignment horizontal="right"/>
    </xf>
    <xf numFmtId="0" fontId="16" fillId="0" borderId="0" xfId="4" applyFont="1"/>
    <xf numFmtId="0" fontId="20" fillId="0" borderId="0" xfId="5" applyNumberFormat="1" applyFont="1" applyAlignment="1">
      <alignment horizontal="right"/>
    </xf>
    <xf numFmtId="0" fontId="19" fillId="0" borderId="0" xfId="4" applyFont="1" applyAlignment="1">
      <alignment wrapText="1"/>
    </xf>
    <xf numFmtId="0" fontId="7" fillId="0" borderId="0" xfId="0" applyFont="1"/>
    <xf numFmtId="167" fontId="12" fillId="0" borderId="0" xfId="2" applyNumberFormat="1" applyFont="1"/>
    <xf numFmtId="9" fontId="0" fillId="0" borderId="0" xfId="2" applyFont="1"/>
    <xf numFmtId="9" fontId="19" fillId="0" borderId="0" xfId="2" applyFont="1" applyAlignment="1">
      <alignment horizontal="right"/>
    </xf>
    <xf numFmtId="165" fontId="8" fillId="0" borderId="0" xfId="4" applyNumberFormat="1"/>
    <xf numFmtId="0" fontId="6" fillId="0" borderId="0" xfId="4" applyFont="1"/>
    <xf numFmtId="166" fontId="5" fillId="0" borderId="0" xfId="2" applyNumberFormat="1" applyFont="1"/>
    <xf numFmtId="167" fontId="6" fillId="0" borderId="0" xfId="0" applyNumberFormat="1" applyFont="1"/>
    <xf numFmtId="9" fontId="8" fillId="0" borderId="0" xfId="2" applyFont="1"/>
    <xf numFmtId="166" fontId="8" fillId="0" borderId="0" xfId="2" applyNumberFormat="1" applyFont="1"/>
    <xf numFmtId="164" fontId="4" fillId="0" borderId="0" xfId="0" applyNumberFormat="1" applyFont="1"/>
    <xf numFmtId="0" fontId="28" fillId="0" borderId="0" xfId="0" applyFont="1"/>
    <xf numFmtId="168" fontId="19" fillId="0" borderId="0" xfId="1" applyNumberFormat="1" applyFont="1" applyAlignment="1">
      <alignment vertical="top"/>
    </xf>
    <xf numFmtId="168" fontId="0" fillId="0" borderId="0" xfId="1" applyNumberFormat="1" applyFont="1"/>
    <xf numFmtId="168" fontId="19" fillId="0" borderId="1" xfId="1" applyNumberFormat="1" applyFont="1" applyBorder="1" applyAlignment="1">
      <alignment vertical="top"/>
    </xf>
    <xf numFmtId="168" fontId="0" fillId="0" borderId="2" xfId="1" applyNumberFormat="1" applyFont="1" applyBorder="1"/>
    <xf numFmtId="169" fontId="27" fillId="2" borderId="0" xfId="0" applyNumberFormat="1" applyFont="1" applyFill="1"/>
    <xf numFmtId="169" fontId="27" fillId="2" borderId="0" xfId="0" applyNumberFormat="1" applyFont="1" applyFill="1" applyAlignment="1">
      <alignment horizontal="right"/>
    </xf>
    <xf numFmtId="168" fontId="0" fillId="0" borderId="0" xfId="1" applyNumberFormat="1" applyFont="1" applyBorder="1"/>
    <xf numFmtId="0" fontId="3" fillId="0" borderId="0" xfId="4" applyFont="1"/>
    <xf numFmtId="171" fontId="19" fillId="0" borderId="0" xfId="4" applyNumberFormat="1" applyFont="1" applyAlignment="1">
      <alignment horizontal="right"/>
    </xf>
    <xf numFmtId="0" fontId="31" fillId="0" borderId="0" xfId="0" applyFont="1"/>
    <xf numFmtId="0" fontId="32" fillId="0" borderId="0" xfId="0" applyFont="1"/>
    <xf numFmtId="167" fontId="8" fillId="3" borderId="0" xfId="4" applyNumberFormat="1" applyFill="1"/>
    <xf numFmtId="0" fontId="33" fillId="0" borderId="0" xfId="4" applyFont="1"/>
    <xf numFmtId="0" fontId="2" fillId="0" borderId="0" xfId="0" applyFont="1"/>
    <xf numFmtId="172" fontId="34" fillId="0" borderId="0" xfId="4" applyNumberFormat="1" applyFont="1"/>
    <xf numFmtId="172" fontId="35" fillId="0" borderId="4" xfId="4" applyNumberFormat="1" applyFont="1" applyBorder="1"/>
    <xf numFmtId="166" fontId="35" fillId="0" borderId="0" xfId="2" applyNumberFormat="1" applyFont="1" applyBorder="1"/>
    <xf numFmtId="172" fontId="34" fillId="0" borderId="0" xfId="0" applyNumberFormat="1" applyFont="1" applyAlignment="1">
      <alignment horizontal="right"/>
    </xf>
    <xf numFmtId="172" fontId="34" fillId="0" borderId="0" xfId="0" applyNumberFormat="1" applyFont="1"/>
    <xf numFmtId="172" fontId="35" fillId="0" borderId="0" xfId="0" applyNumberFormat="1" applyFont="1"/>
    <xf numFmtId="172" fontId="34" fillId="0" borderId="1" xfId="4" applyNumberFormat="1" applyFont="1" applyBorder="1"/>
    <xf numFmtId="170" fontId="34" fillId="0" borderId="0" xfId="4" applyNumberFormat="1" applyFont="1"/>
    <xf numFmtId="172" fontId="35" fillId="0" borderId="4" xfId="0" applyNumberFormat="1" applyFont="1" applyBorder="1"/>
    <xf numFmtId="172" fontId="35" fillId="0" borderId="0" xfId="4" applyNumberFormat="1" applyFont="1"/>
    <xf numFmtId="0" fontId="31" fillId="0" borderId="0" xfId="4" applyFont="1"/>
    <xf numFmtId="0" fontId="36" fillId="0" borderId="0" xfId="4" applyFont="1"/>
    <xf numFmtId="0" fontId="37" fillId="0" borderId="4" xfId="4" applyFont="1" applyBorder="1"/>
    <xf numFmtId="0" fontId="37" fillId="0" borderId="0" xfId="4" applyFont="1"/>
    <xf numFmtId="0" fontId="12" fillId="0" borderId="1" xfId="0" applyFont="1" applyBorder="1"/>
    <xf numFmtId="0" fontId="0" fillId="0" borderId="1" xfId="0" applyBorder="1"/>
    <xf numFmtId="166" fontId="11" fillId="0" borderId="0" xfId="2" applyNumberFormat="1" applyFont="1"/>
    <xf numFmtId="166" fontId="11" fillId="0" borderId="1" xfId="2" applyNumberFormat="1" applyFont="1" applyBorder="1"/>
    <xf numFmtId="0" fontId="31" fillId="0" borderId="5" xfId="4" applyFont="1" applyBorder="1"/>
    <xf numFmtId="0" fontId="37" fillId="0" borderId="1" xfId="4" applyFont="1" applyBorder="1"/>
    <xf numFmtId="0" fontId="31" fillId="0" borderId="1" xfId="4" applyFont="1" applyBorder="1"/>
    <xf numFmtId="168" fontId="0" fillId="0" borderId="0" xfId="0" applyNumberFormat="1"/>
    <xf numFmtId="0" fontId="1" fillId="0" borderId="0" xfId="0" applyFont="1"/>
    <xf numFmtId="172" fontId="31" fillId="0" borderId="1" xfId="0" applyNumberFormat="1" applyFont="1" applyBorder="1"/>
    <xf numFmtId="172" fontId="31" fillId="0" borderId="4" xfId="0" applyNumberFormat="1" applyFont="1" applyBorder="1"/>
    <xf numFmtId="172" fontId="31" fillId="0" borderId="0" xfId="0" applyNumberFormat="1" applyFont="1"/>
    <xf numFmtId="170" fontId="34" fillId="0" borderId="0" xfId="0" applyNumberFormat="1" applyFont="1"/>
    <xf numFmtId="9" fontId="19" fillId="0" borderId="1" xfId="2" applyFont="1" applyBorder="1" applyAlignment="1">
      <alignment horizontal="right"/>
    </xf>
    <xf numFmtId="9" fontId="19" fillId="0" borderId="3" xfId="2" applyFont="1" applyBorder="1" applyAlignment="1">
      <alignment horizontal="right"/>
    </xf>
    <xf numFmtId="10" fontId="0" fillId="0" borderId="0" xfId="2" applyNumberFormat="1" applyFont="1"/>
    <xf numFmtId="9" fontId="0" fillId="0" borderId="1" xfId="2" applyFont="1" applyBorder="1"/>
    <xf numFmtId="166" fontId="31" fillId="0" borderId="0" xfId="4" applyNumberFormat="1" applyFont="1"/>
    <xf numFmtId="166" fontId="19" fillId="0" borderId="0" xfId="2" applyNumberFormat="1" applyFont="1" applyAlignment="1">
      <alignment horizontal="right"/>
    </xf>
    <xf numFmtId="9" fontId="0" fillId="0" borderId="3" xfId="2" applyFont="1" applyBorder="1"/>
    <xf numFmtId="0" fontId="31" fillId="0" borderId="0" xfId="4" applyFont="1" applyAlignment="1">
      <alignment wrapText="1"/>
    </xf>
    <xf numFmtId="173" fontId="12" fillId="0" borderId="0" xfId="0" applyNumberFormat="1" applyFont="1"/>
    <xf numFmtId="2" fontId="19" fillId="0" borderId="0" xfId="4" applyNumberFormat="1" applyFont="1" applyAlignment="1">
      <alignment wrapText="1"/>
    </xf>
    <xf numFmtId="2" fontId="8" fillId="0" borderId="0" xfId="4" applyNumberFormat="1"/>
    <xf numFmtId="166" fontId="15" fillId="0" borderId="0" xfId="2" applyNumberFormat="1" applyFont="1"/>
    <xf numFmtId="2" fontId="15" fillId="0" borderId="0" xfId="4" applyNumberFormat="1" applyFont="1"/>
    <xf numFmtId="168" fontId="15" fillId="0" borderId="0" xfId="1" applyNumberFormat="1" applyFont="1"/>
    <xf numFmtId="167" fontId="15" fillId="0" borderId="0" xfId="4" applyNumberFormat="1" applyFont="1"/>
    <xf numFmtId="0" fontId="38" fillId="0" borderId="0" xfId="7"/>
    <xf numFmtId="174" fontId="39" fillId="0" borderId="4" xfId="7" applyNumberFormat="1" applyFont="1" applyBorder="1"/>
    <xf numFmtId="0" fontId="39" fillId="0" borderId="4" xfId="7" applyFont="1" applyBorder="1"/>
    <xf numFmtId="174" fontId="39" fillId="0" borderId="0" xfId="7" applyNumberFormat="1" applyFont="1"/>
    <xf numFmtId="0" fontId="39" fillId="0" borderId="0" xfId="7" applyFont="1"/>
    <xf numFmtId="2" fontId="39" fillId="0" borderId="0" xfId="7" applyNumberFormat="1" applyFont="1"/>
    <xf numFmtId="175" fontId="39" fillId="0" borderId="0" xfId="7" applyNumberFormat="1" applyFont="1"/>
    <xf numFmtId="169" fontId="40" fillId="4" borderId="0" xfId="7" applyNumberFormat="1" applyFont="1" applyFill="1"/>
    <xf numFmtId="176" fontId="39" fillId="0" borderId="4" xfId="7" applyNumberFormat="1" applyFont="1" applyBorder="1"/>
    <xf numFmtId="176" fontId="39" fillId="0" borderId="0" xfId="7" applyNumberFormat="1" applyFont="1"/>
    <xf numFmtId="166" fontId="39" fillId="0" borderId="0" xfId="8" applyNumberFormat="1" applyFont="1"/>
    <xf numFmtId="166" fontId="38" fillId="0" borderId="0" xfId="8" applyNumberFormat="1" applyFont="1"/>
    <xf numFmtId="2" fontId="39" fillId="0" borderId="4" xfId="7" applyNumberFormat="1" applyFont="1" applyBorder="1"/>
    <xf numFmtId="175" fontId="39" fillId="0" borderId="4" xfId="7" applyNumberFormat="1" applyFont="1" applyBorder="1"/>
    <xf numFmtId="177" fontId="39" fillId="0" borderId="0" xfId="7" applyNumberFormat="1" applyFont="1"/>
    <xf numFmtId="0" fontId="42" fillId="0" borderId="0" xfId="9" applyFont="1"/>
    <xf numFmtId="0" fontId="43" fillId="0" borderId="0" xfId="7" applyFont="1"/>
    <xf numFmtId="172" fontId="42" fillId="0" borderId="0" xfId="9" applyNumberFormat="1" applyFont="1"/>
    <xf numFmtId="172" fontId="39" fillId="0" borderId="4" xfId="9" applyNumberFormat="1" applyFont="1" applyBorder="1"/>
    <xf numFmtId="172" fontId="39" fillId="0" borderId="4" xfId="7" applyNumberFormat="1" applyFont="1" applyBorder="1"/>
    <xf numFmtId="0" fontId="42" fillId="0" borderId="4" xfId="9" applyFont="1" applyBorder="1"/>
    <xf numFmtId="172" fontId="42" fillId="0" borderId="0" xfId="7" applyNumberFormat="1" applyFont="1"/>
    <xf numFmtId="37" fontId="44" fillId="0" borderId="0" xfId="9" applyNumberFormat="1" applyFont="1"/>
    <xf numFmtId="37" fontId="44" fillId="0" borderId="0" xfId="7" applyNumberFormat="1" applyFont="1"/>
    <xf numFmtId="172" fontId="44" fillId="0" borderId="0" xfId="7" applyNumberFormat="1" applyFont="1"/>
    <xf numFmtId="172" fontId="44" fillId="0" borderId="0" xfId="9" applyNumberFormat="1" applyFont="1"/>
    <xf numFmtId="0" fontId="45" fillId="0" borderId="0" xfId="9" applyFont="1"/>
    <xf numFmtId="172" fontId="42" fillId="0" borderId="1" xfId="7" applyNumberFormat="1" applyFont="1" applyBorder="1"/>
    <xf numFmtId="0" fontId="45" fillId="0" borderId="4" xfId="9" applyFont="1" applyBorder="1"/>
    <xf numFmtId="178" fontId="44" fillId="0" borderId="0" xfId="9" applyNumberFormat="1" applyFont="1"/>
    <xf numFmtId="178" fontId="44" fillId="0" borderId="0" xfId="7" applyNumberFormat="1" applyFont="1"/>
    <xf numFmtId="178" fontId="42" fillId="0" borderId="0" xfId="9" applyNumberFormat="1" applyFont="1"/>
    <xf numFmtId="0" fontId="42" fillId="0" borderId="0" xfId="9" applyFont="1" applyAlignment="1">
      <alignment wrapText="1"/>
    </xf>
    <xf numFmtId="170" fontId="44" fillId="0" borderId="0" xfId="9" applyNumberFormat="1" applyFont="1"/>
    <xf numFmtId="170" fontId="44" fillId="0" borderId="0" xfId="7" applyNumberFormat="1" applyFont="1"/>
    <xf numFmtId="0" fontId="45" fillId="0" borderId="0" xfId="9" applyFont="1" applyAlignment="1">
      <alignment wrapText="1"/>
    </xf>
    <xf numFmtId="170" fontId="44" fillId="0" borderId="6" xfId="9" applyNumberFormat="1" applyFont="1" applyBorder="1"/>
    <xf numFmtId="170" fontId="44" fillId="0" borderId="6" xfId="7" applyNumberFormat="1" applyFont="1" applyBorder="1"/>
    <xf numFmtId="0" fontId="45" fillId="0" borderId="6" xfId="9" applyFont="1" applyBorder="1"/>
    <xf numFmtId="169" fontId="46" fillId="4" borderId="0" xfId="7" applyNumberFormat="1" applyFont="1" applyFill="1"/>
    <xf numFmtId="172" fontId="42" fillId="0" borderId="4" xfId="7" applyNumberFormat="1" applyFont="1" applyBorder="1"/>
    <xf numFmtId="172" fontId="44" fillId="0" borderId="4" xfId="7" applyNumberFormat="1" applyFont="1" applyBorder="1"/>
    <xf numFmtId="172" fontId="44" fillId="0" borderId="1" xfId="7" applyNumberFormat="1" applyFont="1" applyBorder="1"/>
    <xf numFmtId="0" fontId="42" fillId="0" borderId="1" xfId="9" applyFont="1" applyBorder="1"/>
    <xf numFmtId="172" fontId="39" fillId="0" borderId="0" xfId="9" applyNumberFormat="1" applyFont="1"/>
    <xf numFmtId="172" fontId="39" fillId="0" borderId="0" xfId="7" applyNumberFormat="1" applyFont="1"/>
    <xf numFmtId="0" fontId="45" fillId="0" borderId="1" xfId="9" applyFont="1" applyBorder="1"/>
    <xf numFmtId="166" fontId="42" fillId="0" borderId="0" xfId="8" applyNumberFormat="1" applyFont="1"/>
    <xf numFmtId="0" fontId="47" fillId="0" borderId="0" xfId="9" applyFont="1"/>
    <xf numFmtId="166" fontId="42" fillId="0" borderId="0" xfId="9" applyNumberFormat="1" applyFont="1"/>
    <xf numFmtId="0" fontId="45" fillId="0" borderId="0" xfId="9" applyFont="1" applyAlignment="1">
      <alignment horizontal="right"/>
    </xf>
    <xf numFmtId="166" fontId="0" fillId="0" borderId="0" xfId="8" applyNumberFormat="1" applyFont="1"/>
    <xf numFmtId="179" fontId="39" fillId="0" borderId="0" xfId="9" applyNumberFormat="1" applyFont="1"/>
    <xf numFmtId="179" fontId="39" fillId="0" borderId="0" xfId="7" applyNumberFormat="1" applyFont="1"/>
    <xf numFmtId="170" fontId="39" fillId="0" borderId="0" xfId="7" applyNumberFormat="1" applyFont="1"/>
    <xf numFmtId="166" fontId="39" fillId="0" borderId="0" xfId="8" applyNumberFormat="1" applyFont="1" applyBorder="1"/>
    <xf numFmtId="170" fontId="39" fillId="0" borderId="4" xfId="7" applyNumberFormat="1" applyFont="1" applyBorder="1"/>
    <xf numFmtId="170" fontId="39" fillId="0" borderId="4" xfId="9" applyNumberFormat="1" applyFont="1" applyBorder="1"/>
    <xf numFmtId="166" fontId="48" fillId="0" borderId="0" xfId="8" applyNumberFormat="1" applyFont="1"/>
    <xf numFmtId="172" fontId="44" fillId="0" borderId="1" xfId="9" applyNumberFormat="1" applyFont="1" applyBorder="1"/>
    <xf numFmtId="166" fontId="44" fillId="0" borderId="0" xfId="8" applyNumberFormat="1" applyFont="1"/>
    <xf numFmtId="172" fontId="49" fillId="0" borderId="0" xfId="7" applyNumberFormat="1" applyFont="1"/>
    <xf numFmtId="172" fontId="44" fillId="0" borderId="0" xfId="7" applyNumberFormat="1" applyFont="1" applyAlignment="1">
      <alignment horizontal="right"/>
    </xf>
    <xf numFmtId="10" fontId="42" fillId="0" borderId="0" xfId="8" applyNumberFormat="1" applyFont="1"/>
    <xf numFmtId="0" fontId="44" fillId="0" borderId="0" xfId="9" applyFont="1"/>
    <xf numFmtId="169" fontId="51" fillId="4" borderId="0" xfId="7" applyNumberFormat="1" applyFont="1" applyFill="1"/>
    <xf numFmtId="0" fontId="15" fillId="0" borderId="0" xfId="4" applyFont="1" applyAlignment="1">
      <alignment horizontal="right"/>
    </xf>
    <xf numFmtId="175" fontId="52" fillId="5" borderId="0" xfId="7" applyNumberFormat="1" applyFont="1" applyFill="1"/>
    <xf numFmtId="0" fontId="50" fillId="0" borderId="0" xfId="9" applyFont="1"/>
    <xf numFmtId="0" fontId="42" fillId="0" borderId="0" xfId="9" applyFont="1"/>
  </cellXfs>
  <cellStyles count="10">
    <cellStyle name="Comma" xfId="1" builtinId="3"/>
    <cellStyle name="Comma 2" xfId="5" xr:uid="{C8BECE07-5EA1-4334-A4CF-5C858BC1B383}"/>
    <cellStyle name="Hyperlink" xfId="3" builtinId="8"/>
    <cellStyle name="Normal" xfId="0" builtinId="0"/>
    <cellStyle name="Normal 2" xfId="4" xr:uid="{BD68C086-3E03-463A-AFE1-5A4F1ACC8C6B}"/>
    <cellStyle name="Normal 2 2" xfId="9" xr:uid="{3E2FE7F6-155C-41B6-B9C7-362FBB033785}"/>
    <cellStyle name="Normal 4" xfId="7" xr:uid="{821986F1-1118-41FA-8F26-EFD0DD42CC42}"/>
    <cellStyle name="Percent" xfId="2" builtinId="5"/>
    <cellStyle name="Percent 2" xfId="6" xr:uid="{950706E3-8A50-49ED-8B39-9F89BAB971A6}"/>
    <cellStyle name="Percent 2 2" xfId="8" xr:uid="{4AD2D9B8-2491-4DB6-AC58-5C6381F52E82}"/>
  </cellStyles>
  <dxfs count="0"/>
  <tableStyles count="1" defaultTableStyle="TableStyleMedium2" defaultPivotStyle="PivotStyleLight16">
    <tableStyle name="Invisible" pivot="0" table="0" count="0" xr9:uid="{07EE4695-3025-4A37-A314-D936BE791531}"/>
  </tableStyles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</a:t>
            </a:r>
            <a:r>
              <a:rPr lang="en-US" baseline="0"/>
              <a:t> Recovery and Profitability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Ratios'!$A$93</c:f>
              <c:strCache>
                <c:ptCount val="1"/>
                <c:pt idx="0">
                  <c:v>Gross Profit %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  <a:headEnd type="none"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'Financial Ratios'!$G$89:$Q$89</c:f>
              <c:numCache>
                <c:formatCode>"FY"0"A"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'Financial Ratios'!$G$93:$Q$93</c:f>
              <c:numCache>
                <c:formatCode>0.0%</c:formatCode>
                <c:ptCount val="11"/>
                <c:pt idx="0">
                  <c:v>0.59954550196065182</c:v>
                </c:pt>
                <c:pt idx="1">
                  <c:v>0.63684805467842287</c:v>
                </c:pt>
                <c:pt idx="2">
                  <c:v>0.63450918583752958</c:v>
                </c:pt>
                <c:pt idx="3">
                  <c:v>0.60290640087434721</c:v>
                </c:pt>
                <c:pt idx="4">
                  <c:v>0.59954618373226742</c:v>
                </c:pt>
                <c:pt idx="5">
                  <c:v>0.59232320526207982</c:v>
                </c:pt>
                <c:pt idx="6">
                  <c:v>0.56096652946789882</c:v>
                </c:pt>
                <c:pt idx="7">
                  <c:v>0.50301724752616439</c:v>
                </c:pt>
                <c:pt idx="8">
                  <c:v>0.53139939106672851</c:v>
                </c:pt>
                <c:pt idx="9">
                  <c:v>0.54037571724725997</c:v>
                </c:pt>
                <c:pt idx="10">
                  <c:v>0.55847642182147517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0-4567-9218-A2740B40B204}"/>
            </c:ext>
          </c:extLst>
        </c:ser>
        <c:ser>
          <c:idx val="1"/>
          <c:order val="1"/>
          <c:tx>
            <c:strRef>
              <c:f>'Financial Ratios'!$A$94</c:f>
              <c:strCache>
                <c:ptCount val="1"/>
                <c:pt idx="0">
                  <c:v>EBIT Margin %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numRef>
              <c:f>'Financial Ratios'!$G$89:$Q$89</c:f>
              <c:numCache>
                <c:formatCode>"FY"0"A"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'Financial Ratios'!$G$94:$Q$94</c:f>
              <c:numCache>
                <c:formatCode>0.0%</c:formatCode>
                <c:ptCount val="11"/>
                <c:pt idx="0">
                  <c:v>0.26893141905938667</c:v>
                </c:pt>
                <c:pt idx="1">
                  <c:v>0.3559193583772246</c:v>
                </c:pt>
                <c:pt idx="2">
                  <c:v>0.35582397979249314</c:v>
                </c:pt>
                <c:pt idx="3">
                  <c:v>0.33715715793015466</c:v>
                </c:pt>
                <c:pt idx="4">
                  <c:v>0.33396797148365592</c:v>
                </c:pt>
                <c:pt idx="5">
                  <c:v>0.35513841272133184</c:v>
                </c:pt>
                <c:pt idx="6">
                  <c:v>0.32437336592225147</c:v>
                </c:pt>
                <c:pt idx="7">
                  <c:v>0.25110258990183881</c:v>
                </c:pt>
                <c:pt idx="8">
                  <c:v>0.27357809711363834</c:v>
                </c:pt>
                <c:pt idx="9">
                  <c:v>0.25762297721691846</c:v>
                </c:pt>
                <c:pt idx="10">
                  <c:v>0.29168723791625206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F0-4567-9218-A2740B40B204}"/>
            </c:ext>
          </c:extLst>
        </c:ser>
        <c:ser>
          <c:idx val="2"/>
          <c:order val="2"/>
          <c:tx>
            <c:strRef>
              <c:f>'Financial Ratios'!$A$95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'Financial Ratios'!$G$89:$Q$89</c:f>
              <c:numCache>
                <c:formatCode>"FY"0"A"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'Financial Ratios'!$G$95:$Q$95</c:f>
              <c:numCache>
                <c:formatCode>0.0%</c:formatCode>
                <c:ptCount val="11"/>
                <c:pt idx="0">
                  <c:v>0.14305375374095888</c:v>
                </c:pt>
                <c:pt idx="1">
                  <c:v>0.23742134910128015</c:v>
                </c:pt>
                <c:pt idx="2">
                  <c:v>0.24191009618452708</c:v>
                </c:pt>
                <c:pt idx="3">
                  <c:v>0.25575287555129345</c:v>
                </c:pt>
                <c:pt idx="4">
                  <c:v>0.25751859339809691</c:v>
                </c:pt>
                <c:pt idx="5">
                  <c:v>0.30956687610549039</c:v>
                </c:pt>
                <c:pt idx="6">
                  <c:v>0.24715466550401419</c:v>
                </c:pt>
                <c:pt idx="7">
                  <c:v>0.19285824070479557</c:v>
                </c:pt>
                <c:pt idx="8">
                  <c:v>0.19618049063399901</c:v>
                </c:pt>
                <c:pt idx="9">
                  <c:v>0.18560950385234498</c:v>
                </c:pt>
                <c:pt idx="10">
                  <c:v>0.21449342039508132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F0-4567-9218-A2740B40B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2291375"/>
        <c:axId val="751045743"/>
      </c:lineChart>
      <c:catAx>
        <c:axId val="1172291375"/>
        <c:scaling>
          <c:orientation val="minMax"/>
        </c:scaling>
        <c:delete val="0"/>
        <c:axPos val="b"/>
        <c:numFmt formatCode="&quot;FY&quot;0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045743"/>
        <c:crosses val="autoZero"/>
        <c:auto val="1"/>
        <c:lblAlgn val="ctr"/>
        <c:lblOffset val="100"/>
        <c:noMultiLvlLbl val="0"/>
      </c:catAx>
      <c:valAx>
        <c:axId val="7510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9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1600200</xdr:colOff>
      <xdr:row>88</xdr:row>
      <xdr:rowOff>43543</xdr:rowOff>
    </xdr:from>
    <xdr:to>
      <xdr:col>22</xdr:col>
      <xdr:colOff>130628</xdr:colOff>
      <xdr:row>103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53B76-36B3-7FD9-AFE4-7195BED9B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AB6B-01FB-4DFC-B754-3DAD7C7EBED1}">
  <dimension ref="A1:D12"/>
  <sheetViews>
    <sheetView zoomScale="80" zoomScaleNormal="80" workbookViewId="0"/>
  </sheetViews>
  <sheetFormatPr defaultRowHeight="14.4"/>
  <cols>
    <col min="1" max="1" width="25.6640625" customWidth="1"/>
    <col min="2" max="2" width="15.44140625" customWidth="1"/>
  </cols>
  <sheetData>
    <row r="1" spans="1:4" ht="42.9" customHeight="1">
      <c r="A1" s="2" t="s">
        <v>10</v>
      </c>
      <c r="B1" s="3" t="s">
        <v>9</v>
      </c>
    </row>
    <row r="2" spans="1:4" ht="28.8">
      <c r="A2" s="2" t="s">
        <v>12</v>
      </c>
      <c r="B2" s="3" t="s">
        <v>11</v>
      </c>
    </row>
    <row r="3" spans="1:4">
      <c r="A3" t="s">
        <v>1</v>
      </c>
      <c r="B3" s="3" t="s">
        <v>14</v>
      </c>
      <c r="D3" s="4" t="s">
        <v>25</v>
      </c>
    </row>
    <row r="4" spans="1:4">
      <c r="A4" t="s">
        <v>2</v>
      </c>
      <c r="B4" s="3" t="s">
        <v>15</v>
      </c>
      <c r="D4" s="4" t="s">
        <v>23</v>
      </c>
    </row>
    <row r="5" spans="1:4">
      <c r="A5" s="5" t="s">
        <v>30</v>
      </c>
      <c r="B5" s="3" t="s">
        <v>16</v>
      </c>
      <c r="D5" s="4" t="s">
        <v>26</v>
      </c>
    </row>
    <row r="6" spans="1:4">
      <c r="A6" t="s">
        <v>3</v>
      </c>
      <c r="B6" s="3" t="s">
        <v>17</v>
      </c>
      <c r="D6" s="4" t="s">
        <v>27</v>
      </c>
    </row>
    <row r="7" spans="1:4">
      <c r="A7" t="s">
        <v>4</v>
      </c>
      <c r="B7" s="3" t="s">
        <v>13</v>
      </c>
      <c r="D7" s="4" t="s">
        <v>24</v>
      </c>
    </row>
    <row r="8" spans="1:4">
      <c r="A8" t="s">
        <v>5</v>
      </c>
      <c r="B8" s="3" t="s">
        <v>18</v>
      </c>
      <c r="D8" s="4" t="s">
        <v>28</v>
      </c>
    </row>
    <row r="9" spans="1:4">
      <c r="A9" s="1" t="s">
        <v>31</v>
      </c>
      <c r="B9" s="3" t="s">
        <v>19</v>
      </c>
      <c r="D9" s="4" t="s">
        <v>29</v>
      </c>
    </row>
    <row r="10" spans="1:4">
      <c r="A10" s="6" t="s">
        <v>6</v>
      </c>
      <c r="B10" s="6" t="s">
        <v>20</v>
      </c>
    </row>
    <row r="11" spans="1:4">
      <c r="A11" s="6" t="s">
        <v>7</v>
      </c>
      <c r="B11" s="6" t="s">
        <v>21</v>
      </c>
    </row>
    <row r="12" spans="1:4">
      <c r="A12" s="6" t="s">
        <v>8</v>
      </c>
      <c r="B12" s="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205E-6B0D-433D-9295-11F9EB57588F}">
  <dimension ref="A1:C145"/>
  <sheetViews>
    <sheetView zoomScale="82" workbookViewId="0">
      <selection activeCell="A94" sqref="A94:B95"/>
    </sheetView>
  </sheetViews>
  <sheetFormatPr defaultRowHeight="14.4"/>
  <cols>
    <col min="1" max="2" width="30.6640625" customWidth="1"/>
  </cols>
  <sheetData>
    <row r="1" spans="1:2">
      <c r="A1" s="4" t="s">
        <v>60</v>
      </c>
    </row>
    <row r="2" spans="1:2" ht="28.8">
      <c r="A2" s="2" t="s">
        <v>10</v>
      </c>
    </row>
    <row r="4" spans="1:2">
      <c r="A4" s="47" t="s">
        <v>106</v>
      </c>
      <c r="B4" s="47"/>
    </row>
    <row r="5" spans="1:2">
      <c r="A5" s="47" t="s">
        <v>107</v>
      </c>
      <c r="B5" s="47"/>
    </row>
    <row r="6" spans="1:2">
      <c r="A6" s="47" t="s">
        <v>32</v>
      </c>
      <c r="B6" s="48" t="s">
        <v>108</v>
      </c>
    </row>
    <row r="7" spans="1:2">
      <c r="A7" s="4" t="s">
        <v>0</v>
      </c>
      <c r="B7" s="83">
        <v>8294343</v>
      </c>
    </row>
    <row r="8" spans="1:2">
      <c r="A8" t="s">
        <v>109</v>
      </c>
      <c r="B8" s="83">
        <v>-3662148</v>
      </c>
    </row>
    <row r="9" spans="1:2">
      <c r="A9" s="4" t="s">
        <v>110</v>
      </c>
      <c r="B9" s="45">
        <f>B8+B7</f>
        <v>4632195</v>
      </c>
    </row>
    <row r="10" spans="1:2">
      <c r="A10" s="42"/>
      <c r="B10" s="43"/>
    </row>
    <row r="11" spans="1:2">
      <c r="A11" t="s">
        <v>111</v>
      </c>
      <c r="B11" s="83">
        <v>-237000</v>
      </c>
    </row>
    <row r="12" spans="1:2" ht="28.8">
      <c r="A12" s="1" t="s">
        <v>112</v>
      </c>
      <c r="B12" s="83">
        <v>-599900</v>
      </c>
    </row>
    <row r="13" spans="1:2">
      <c r="A13" t="s">
        <v>113</v>
      </c>
      <c r="B13" s="83">
        <v>-1261500</v>
      </c>
    </row>
    <row r="14" spans="1:2">
      <c r="A14" t="s">
        <v>114</v>
      </c>
      <c r="B14" s="43">
        <f>B13+B12+B11</f>
        <v>-2098400</v>
      </c>
    </row>
    <row r="15" spans="1:2">
      <c r="A15" s="4" t="s">
        <v>94</v>
      </c>
      <c r="B15" s="45">
        <f>B14+B9</f>
        <v>2533795</v>
      </c>
    </row>
    <row r="16" spans="1:2">
      <c r="A16" s="42"/>
      <c r="B16" s="43"/>
    </row>
    <row r="17" spans="1:2">
      <c r="A17" t="s">
        <v>115</v>
      </c>
      <c r="B17" s="83">
        <v>-114441</v>
      </c>
    </row>
    <row r="18" spans="1:2">
      <c r="A18" s="4" t="s">
        <v>116</v>
      </c>
      <c r="B18" s="45">
        <f>B15+B17</f>
        <v>2419354</v>
      </c>
    </row>
    <row r="19" spans="1:2">
      <c r="A19" s="42"/>
      <c r="B19" s="44"/>
    </row>
    <row r="20" spans="1:2" ht="28.8">
      <c r="A20" s="1" t="s">
        <v>117</v>
      </c>
      <c r="B20" s="83">
        <v>63175</v>
      </c>
    </row>
    <row r="21" spans="1:2" ht="28.8">
      <c r="A21" s="1" t="s">
        <v>118</v>
      </c>
      <c r="B21" s="44">
        <f>B18+B20</f>
        <v>2482529</v>
      </c>
    </row>
    <row r="22" spans="1:2">
      <c r="B22" s="44"/>
    </row>
    <row r="23" spans="1:2">
      <c r="A23" t="s">
        <v>119</v>
      </c>
      <c r="B23" s="83">
        <v>-577097</v>
      </c>
    </row>
    <row r="24" spans="1:2">
      <c r="A24" s="42" t="s">
        <v>120</v>
      </c>
      <c r="B24" s="16">
        <v>0.23246334685314854</v>
      </c>
    </row>
    <row r="25" spans="1:2" ht="15" thickBot="1">
      <c r="A25" s="4" t="s">
        <v>121</v>
      </c>
      <c r="B25" s="46">
        <f>B21+B23</f>
        <v>1905432</v>
      </c>
    </row>
    <row r="26" spans="1:2" ht="15" thickTop="1"/>
    <row r="27" spans="1:2">
      <c r="A27" s="47" t="s">
        <v>106</v>
      </c>
      <c r="B27" s="48"/>
    </row>
    <row r="28" spans="1:2">
      <c r="A28" s="47" t="s">
        <v>137</v>
      </c>
      <c r="B28" s="48" t="s">
        <v>108</v>
      </c>
    </row>
    <row r="29" spans="1:2">
      <c r="A29" s="70" t="s">
        <v>189</v>
      </c>
    </row>
    <row r="30" spans="1:2">
      <c r="A30" s="67" t="s">
        <v>124</v>
      </c>
      <c r="B30" s="57">
        <v>2088117</v>
      </c>
    </row>
    <row r="31" spans="1:2">
      <c r="A31" s="67" t="s">
        <v>125</v>
      </c>
      <c r="B31" s="57">
        <v>677084</v>
      </c>
    </row>
    <row r="32" spans="1:2">
      <c r="A32" s="67" t="s">
        <v>126</v>
      </c>
      <c r="B32" s="57">
        <v>1618072</v>
      </c>
    </row>
    <row r="33" spans="1:2">
      <c r="A33" s="67" t="s">
        <v>127</v>
      </c>
      <c r="B33" s="57">
        <v>799623</v>
      </c>
    </row>
    <row r="34" spans="1:2">
      <c r="A34" s="67" t="s">
        <v>128</v>
      </c>
      <c r="B34" s="57">
        <v>103551</v>
      </c>
    </row>
    <row r="35" spans="1:2">
      <c r="A35" s="67" t="s">
        <v>157</v>
      </c>
      <c r="B35" s="57">
        <v>0</v>
      </c>
    </row>
    <row r="36" spans="1:2">
      <c r="A36" s="67" t="s">
        <v>158</v>
      </c>
      <c r="B36" s="57">
        <v>74637</v>
      </c>
    </row>
    <row r="37" spans="1:2">
      <c r="A37" s="67" t="s">
        <v>159</v>
      </c>
      <c r="B37" s="57">
        <v>0</v>
      </c>
    </row>
    <row r="38" spans="1:2">
      <c r="A38" s="69" t="s">
        <v>129</v>
      </c>
      <c r="B38" s="65">
        <f>B37+B34+B33+B32+B31+B30+B36+B35</f>
        <v>5361084</v>
      </c>
    </row>
    <row r="39" spans="1:2">
      <c r="A39" s="70"/>
      <c r="B39" s="66"/>
    </row>
    <row r="40" spans="1:2">
      <c r="A40" s="70" t="s">
        <v>160</v>
      </c>
      <c r="B40" s="66"/>
    </row>
    <row r="41" spans="1:2">
      <c r="A41" s="67" t="s">
        <v>161</v>
      </c>
      <c r="B41" s="61">
        <v>48329</v>
      </c>
    </row>
    <row r="42" spans="1:2">
      <c r="A42" s="67" t="s">
        <v>162</v>
      </c>
      <c r="B42" s="57">
        <v>1081544</v>
      </c>
    </row>
    <row r="43" spans="1:2">
      <c r="A43" s="67" t="s">
        <v>163</v>
      </c>
      <c r="B43" s="57">
        <v>188646</v>
      </c>
    </row>
    <row r="44" spans="1:2">
      <c r="A44" s="67" t="s">
        <v>164</v>
      </c>
      <c r="B44" s="57">
        <v>1379268</v>
      </c>
    </row>
    <row r="45" spans="1:2">
      <c r="A45" s="67" t="s">
        <v>165</v>
      </c>
      <c r="B45" s="57">
        <v>1331643</v>
      </c>
    </row>
    <row r="46" spans="1:2">
      <c r="A46" s="67" t="s">
        <v>166</v>
      </c>
      <c r="B46" s="57">
        <v>159431</v>
      </c>
    </row>
    <row r="47" spans="1:2">
      <c r="A47" s="67" t="s">
        <v>167</v>
      </c>
      <c r="B47" s="61">
        <f>B46+B45+B44+B42+B43+B41</f>
        <v>4188861</v>
      </c>
    </row>
    <row r="48" spans="1:2">
      <c r="A48" s="76" t="s">
        <v>168</v>
      </c>
      <c r="B48" s="80">
        <f>B47+B38</f>
        <v>9549945</v>
      </c>
    </row>
    <row r="49" spans="1:2">
      <c r="A49" s="70"/>
      <c r="B49" s="57"/>
    </row>
    <row r="50" spans="1:2">
      <c r="A50" s="70" t="s">
        <v>169</v>
      </c>
      <c r="B50" s="57"/>
    </row>
    <row r="51" spans="1:2">
      <c r="A51" s="67" t="s">
        <v>170</v>
      </c>
      <c r="B51" s="57"/>
    </row>
    <row r="52" spans="1:2">
      <c r="A52" s="67" t="s">
        <v>130</v>
      </c>
      <c r="B52" s="57">
        <v>565974</v>
      </c>
    </row>
    <row r="53" spans="1:2">
      <c r="A53" s="67" t="s">
        <v>131</v>
      </c>
      <c r="B53" s="57">
        <v>306085</v>
      </c>
    </row>
    <row r="54" spans="1:2">
      <c r="A54" s="67" t="s">
        <v>171</v>
      </c>
      <c r="B54" s="57">
        <v>0</v>
      </c>
    </row>
    <row r="55" spans="1:2">
      <c r="A55" s="67" t="s">
        <v>133</v>
      </c>
      <c r="B55" s="57">
        <v>45323</v>
      </c>
    </row>
    <row r="56" spans="1:2">
      <c r="A56" s="67" t="s">
        <v>172</v>
      </c>
      <c r="B56" s="57">
        <v>0</v>
      </c>
    </row>
    <row r="57" spans="1:2">
      <c r="A57" s="67" t="s">
        <v>132</v>
      </c>
      <c r="B57" s="57">
        <v>384070</v>
      </c>
    </row>
    <row r="58" spans="1:2">
      <c r="A58" s="67" t="s">
        <v>134</v>
      </c>
      <c r="B58" s="57">
        <v>114023</v>
      </c>
    </row>
    <row r="59" spans="1:2">
      <c r="A59" s="67" t="s">
        <v>135</v>
      </c>
      <c r="B59" s="57">
        <v>32305</v>
      </c>
    </row>
    <row r="60" spans="1:2">
      <c r="A60" s="67" t="s">
        <v>173</v>
      </c>
      <c r="B60" s="57">
        <v>0</v>
      </c>
    </row>
    <row r="61" spans="1:2">
      <c r="A61" s="69" t="s">
        <v>174</v>
      </c>
      <c r="B61" s="81">
        <f t="shared" ref="B61" si="0">B51+B60+B59+B57+B53+B52+B56+B54+B55+B58</f>
        <v>1447780</v>
      </c>
    </row>
    <row r="62" spans="1:2">
      <c r="A62" s="70"/>
      <c r="B62" s="66"/>
    </row>
    <row r="63" spans="1:2">
      <c r="A63" s="70" t="s">
        <v>175</v>
      </c>
      <c r="B63" s="66"/>
    </row>
    <row r="64" spans="1:2">
      <c r="A64" s="67" t="s">
        <v>176</v>
      </c>
      <c r="B64" s="57">
        <v>0</v>
      </c>
    </row>
    <row r="65" spans="1:2">
      <c r="A65" s="67" t="s">
        <v>133</v>
      </c>
      <c r="B65" s="57">
        <v>159991</v>
      </c>
    </row>
    <row r="66" spans="1:2">
      <c r="A66" s="67" t="s">
        <v>177</v>
      </c>
      <c r="B66" s="57">
        <v>0</v>
      </c>
    </row>
    <row r="67" spans="1:2">
      <c r="A67" s="67" t="s">
        <v>178</v>
      </c>
      <c r="B67" s="57">
        <v>127066</v>
      </c>
    </row>
    <row r="68" spans="1:2">
      <c r="A68" s="67" t="s">
        <v>179</v>
      </c>
      <c r="B68" s="82">
        <f t="shared" ref="B68" si="1">B65+B64+B66+B67</f>
        <v>287057</v>
      </c>
    </row>
    <row r="69" spans="1:2">
      <c r="A69" s="77" t="s">
        <v>180</v>
      </c>
      <c r="B69" s="80">
        <f t="shared" ref="B69" si="2">B68+B61</f>
        <v>1734837</v>
      </c>
    </row>
    <row r="70" spans="1:2">
      <c r="A70" s="67"/>
      <c r="B70" s="57"/>
    </row>
    <row r="71" spans="1:2">
      <c r="A71" s="70" t="s">
        <v>181</v>
      </c>
      <c r="B71" s="57"/>
    </row>
    <row r="72" spans="1:2">
      <c r="A72" s="67" t="s">
        <v>182</v>
      </c>
      <c r="B72" s="57">
        <v>5665</v>
      </c>
    </row>
    <row r="73" spans="1:2">
      <c r="A73" s="67" t="s">
        <v>136</v>
      </c>
      <c r="B73" s="57">
        <v>5430847</v>
      </c>
    </row>
    <row r="74" spans="1:2">
      <c r="A74" s="67" t="s">
        <v>183</v>
      </c>
      <c r="B74" s="61">
        <v>9354216</v>
      </c>
    </row>
    <row r="75" spans="1:2">
      <c r="A75" s="67" t="s">
        <v>184</v>
      </c>
      <c r="B75" s="83">
        <v>-60841</v>
      </c>
    </row>
    <row r="76" spans="1:2">
      <c r="A76" s="67" t="s">
        <v>185</v>
      </c>
      <c r="B76" s="83">
        <v>-6475779</v>
      </c>
    </row>
    <row r="77" spans="1:2">
      <c r="A77" s="69" t="s">
        <v>186</v>
      </c>
      <c r="B77" s="81">
        <f t="shared" ref="B77" si="3">B76+B75+B74+B73+B72</f>
        <v>8254108</v>
      </c>
    </row>
    <row r="78" spans="1:2">
      <c r="A78" s="69" t="s">
        <v>187</v>
      </c>
      <c r="B78" s="81">
        <f t="shared" ref="B78" si="4">B77+B69</f>
        <v>9988945</v>
      </c>
    </row>
    <row r="79" spans="1:2">
      <c r="A79" s="70"/>
      <c r="B79" s="82"/>
    </row>
    <row r="80" spans="1:2">
      <c r="A80" s="70"/>
      <c r="B80" s="82"/>
    </row>
    <row r="81" spans="1:3">
      <c r="A81" s="47" t="s">
        <v>106</v>
      </c>
      <c r="B81" s="47"/>
    </row>
    <row r="82" spans="1:3">
      <c r="A82" s="47" t="s">
        <v>107</v>
      </c>
      <c r="B82" s="47"/>
    </row>
    <row r="83" spans="1:3">
      <c r="A83" s="47" t="s">
        <v>32</v>
      </c>
      <c r="B83" s="48" t="s">
        <v>108</v>
      </c>
    </row>
    <row r="84" spans="1:3">
      <c r="A84" s="56" t="s">
        <v>0</v>
      </c>
      <c r="B84" s="33">
        <f>B7/B7</f>
        <v>1</v>
      </c>
    </row>
    <row r="85" spans="1:3">
      <c r="A85" s="13" t="s">
        <v>61</v>
      </c>
      <c r="B85" s="15">
        <f>B9/B7</f>
        <v>0.55847642182147517</v>
      </c>
    </row>
    <row r="86" spans="1:3">
      <c r="A86" s="56" t="s">
        <v>94</v>
      </c>
      <c r="B86" s="15">
        <f>B15/B7</f>
        <v>0.30548471409971834</v>
      </c>
    </row>
    <row r="87" spans="1:3">
      <c r="A87" s="56" t="s">
        <v>156</v>
      </c>
      <c r="B87" s="15">
        <f>B18/B7</f>
        <v>0.29168723791625206</v>
      </c>
    </row>
    <row r="88" spans="1:3">
      <c r="A88" s="10" t="s">
        <v>56</v>
      </c>
      <c r="B88" s="15">
        <f>B25/B7</f>
        <v>0.22972669444704663</v>
      </c>
    </row>
    <row r="90" spans="1:3">
      <c r="A90" s="10" t="s">
        <v>57</v>
      </c>
      <c r="B90" s="15">
        <f>-B23/B21</f>
        <v>0.23246334685314854</v>
      </c>
      <c r="C90" s="14" t="s">
        <v>103</v>
      </c>
    </row>
    <row r="91" spans="1:3">
      <c r="A91" s="10" t="s">
        <v>58</v>
      </c>
      <c r="B91" s="32">
        <f>B18/B20</f>
        <v>38.296066481994458</v>
      </c>
      <c r="C91" s="14" t="s">
        <v>104</v>
      </c>
    </row>
    <row r="94" spans="1:3">
      <c r="A94" s="47" t="s">
        <v>106</v>
      </c>
      <c r="B94" s="48"/>
    </row>
    <row r="95" spans="1:3">
      <c r="A95" s="47" t="s">
        <v>137</v>
      </c>
      <c r="B95" s="48" t="s">
        <v>108</v>
      </c>
    </row>
    <row r="96" spans="1:3">
      <c r="A96" s="70" t="s">
        <v>189</v>
      </c>
    </row>
    <row r="97" spans="1:2">
      <c r="A97" s="67" t="s">
        <v>124</v>
      </c>
      <c r="B97" s="34">
        <f>B30/$B$48</f>
        <v>0.21865225401821686</v>
      </c>
    </row>
    <row r="98" spans="1:2">
      <c r="A98" s="67" t="s">
        <v>125</v>
      </c>
      <c r="B98" s="34">
        <f t="shared" ref="B98:B115" si="5">B31/$B$48</f>
        <v>7.089925648786459E-2</v>
      </c>
    </row>
    <row r="99" spans="1:2">
      <c r="A99" s="67" t="s">
        <v>126</v>
      </c>
      <c r="B99" s="34">
        <f t="shared" si="5"/>
        <v>0.1694325988264854</v>
      </c>
    </row>
    <row r="100" spans="1:2">
      <c r="A100" s="67" t="s">
        <v>127</v>
      </c>
      <c r="B100" s="34">
        <f t="shared" si="5"/>
        <v>8.3730639286404271E-2</v>
      </c>
    </row>
    <row r="101" spans="1:2">
      <c r="A101" s="67" t="s">
        <v>128</v>
      </c>
      <c r="B101" s="34">
        <f t="shared" si="5"/>
        <v>1.084309909638223E-2</v>
      </c>
    </row>
    <row r="102" spans="1:2">
      <c r="A102" s="67" t="s">
        <v>157</v>
      </c>
      <c r="B102" s="34">
        <f t="shared" si="5"/>
        <v>0</v>
      </c>
    </row>
    <row r="103" spans="1:2">
      <c r="A103" s="67" t="s">
        <v>158</v>
      </c>
      <c r="B103" s="34">
        <f t="shared" si="5"/>
        <v>7.8154376805311451E-3</v>
      </c>
    </row>
    <row r="104" spans="1:2">
      <c r="A104" s="67" t="s">
        <v>159</v>
      </c>
      <c r="B104" s="34">
        <f t="shared" si="5"/>
        <v>0</v>
      </c>
    </row>
    <row r="105" spans="1:2">
      <c r="A105" s="76" t="s">
        <v>129</v>
      </c>
      <c r="B105" s="84">
        <f t="shared" si="5"/>
        <v>0.56137328539588449</v>
      </c>
    </row>
    <row r="106" spans="1:2">
      <c r="A106" s="70"/>
      <c r="B106" s="34"/>
    </row>
    <row r="107" spans="1:2">
      <c r="A107" s="70" t="s">
        <v>160</v>
      </c>
      <c r="B107" s="34"/>
    </row>
    <row r="108" spans="1:2">
      <c r="A108" s="67" t="s">
        <v>161</v>
      </c>
      <c r="B108" s="34">
        <f t="shared" si="5"/>
        <v>5.0606574173987394E-3</v>
      </c>
    </row>
    <row r="109" spans="1:2">
      <c r="A109" s="67" t="s">
        <v>162</v>
      </c>
      <c r="B109" s="34">
        <f t="shared" si="5"/>
        <v>0.1132513328610793</v>
      </c>
    </row>
    <row r="110" spans="1:2">
      <c r="A110" s="67" t="s">
        <v>163</v>
      </c>
      <c r="B110" s="34">
        <f t="shared" si="5"/>
        <v>1.9753621617716124E-2</v>
      </c>
    </row>
    <row r="111" spans="1:2">
      <c r="A111" s="67" t="s">
        <v>164</v>
      </c>
      <c r="B111" s="34">
        <f t="shared" si="5"/>
        <v>0.14442680036377173</v>
      </c>
    </row>
    <row r="112" spans="1:2">
      <c r="A112" s="67" t="s">
        <v>165</v>
      </c>
      <c r="B112" s="34">
        <f t="shared" si="5"/>
        <v>0.1394398606484121</v>
      </c>
    </row>
    <row r="113" spans="1:2">
      <c r="A113" s="67" t="s">
        <v>166</v>
      </c>
      <c r="B113" s="34">
        <f t="shared" si="5"/>
        <v>1.6694441695737514E-2</v>
      </c>
    </row>
    <row r="114" spans="1:2">
      <c r="A114" s="67" t="s">
        <v>167</v>
      </c>
      <c r="B114" s="34">
        <f t="shared" si="5"/>
        <v>0.43862671460411551</v>
      </c>
    </row>
    <row r="115" spans="1:2">
      <c r="A115" s="76" t="s">
        <v>168</v>
      </c>
      <c r="B115" s="84">
        <f t="shared" si="5"/>
        <v>1</v>
      </c>
    </row>
    <row r="116" spans="1:2">
      <c r="A116" s="70"/>
    </row>
    <row r="117" spans="1:2">
      <c r="A117" s="70" t="s">
        <v>169</v>
      </c>
      <c r="B117" s="34"/>
    </row>
    <row r="118" spans="1:2">
      <c r="A118" s="67" t="s">
        <v>170</v>
      </c>
      <c r="B118" s="34">
        <f>B51/$B$78</f>
        <v>0</v>
      </c>
    </row>
    <row r="119" spans="1:2">
      <c r="A119" s="67" t="s">
        <v>130</v>
      </c>
      <c r="B119" s="34">
        <f t="shared" ref="B119:B145" si="6">B52/$B$78</f>
        <v>5.6660037671646006E-2</v>
      </c>
    </row>
    <row r="120" spans="1:2">
      <c r="A120" s="67" t="s">
        <v>131</v>
      </c>
      <c r="B120" s="34">
        <f t="shared" si="6"/>
        <v>3.0642375145723596E-2</v>
      </c>
    </row>
    <row r="121" spans="1:2">
      <c r="A121" s="67" t="s">
        <v>171</v>
      </c>
      <c r="B121" s="34">
        <f t="shared" si="6"/>
        <v>0</v>
      </c>
    </row>
    <row r="122" spans="1:2">
      <c r="A122" s="67" t="s">
        <v>133</v>
      </c>
      <c r="B122" s="34">
        <f t="shared" si="6"/>
        <v>4.537316002841141E-3</v>
      </c>
    </row>
    <row r="123" spans="1:2">
      <c r="A123" s="67" t="s">
        <v>172</v>
      </c>
      <c r="B123" s="34">
        <f t="shared" si="6"/>
        <v>0</v>
      </c>
    </row>
    <row r="124" spans="1:2">
      <c r="A124" s="67" t="s">
        <v>132</v>
      </c>
      <c r="B124" s="34">
        <f t="shared" si="6"/>
        <v>3.8449505928804292E-2</v>
      </c>
    </row>
    <row r="125" spans="1:2">
      <c r="A125" s="67" t="s">
        <v>134</v>
      </c>
      <c r="B125" s="34">
        <f t="shared" si="6"/>
        <v>1.1414919193168047E-2</v>
      </c>
    </row>
    <row r="126" spans="1:2">
      <c r="A126" s="67" t="s">
        <v>135</v>
      </c>
      <c r="B126" s="34">
        <f t="shared" si="6"/>
        <v>3.2340752702112183E-3</v>
      </c>
    </row>
    <row r="127" spans="1:2">
      <c r="A127" s="67" t="s">
        <v>173</v>
      </c>
      <c r="B127" s="34">
        <f t="shared" si="6"/>
        <v>0</v>
      </c>
    </row>
    <row r="128" spans="1:2">
      <c r="A128" s="69" t="s">
        <v>174</v>
      </c>
      <c r="B128" s="84">
        <f t="shared" si="6"/>
        <v>0.1449382292123943</v>
      </c>
    </row>
    <row r="129" spans="1:2">
      <c r="A129" s="70"/>
      <c r="B129" s="34"/>
    </row>
    <row r="130" spans="1:2">
      <c r="A130" s="70" t="s">
        <v>175</v>
      </c>
      <c r="B130" s="34"/>
    </row>
    <row r="131" spans="1:2">
      <c r="A131" s="67" t="s">
        <v>176</v>
      </c>
      <c r="B131" s="34">
        <f t="shared" si="6"/>
        <v>0</v>
      </c>
    </row>
    <row r="132" spans="1:2">
      <c r="A132" s="67" t="s">
        <v>133</v>
      </c>
      <c r="B132" s="34">
        <f t="shared" si="6"/>
        <v>1.6016806579673828E-2</v>
      </c>
    </row>
    <row r="133" spans="1:2">
      <c r="A133" s="67" t="s">
        <v>177</v>
      </c>
      <c r="B133" s="34">
        <f t="shared" si="6"/>
        <v>0</v>
      </c>
    </row>
    <row r="134" spans="1:2">
      <c r="A134" s="67" t="s">
        <v>178</v>
      </c>
      <c r="B134" s="34">
        <f t="shared" si="6"/>
        <v>1.2720662692606678E-2</v>
      </c>
    </row>
    <row r="135" spans="1:2">
      <c r="A135" s="67" t="s">
        <v>179</v>
      </c>
      <c r="B135" s="34">
        <f t="shared" si="6"/>
        <v>2.8737469272280505E-2</v>
      </c>
    </row>
    <row r="136" spans="1:2">
      <c r="A136" s="77" t="s">
        <v>180</v>
      </c>
      <c r="B136" s="84">
        <f t="shared" si="6"/>
        <v>0.17367569848467482</v>
      </c>
    </row>
    <row r="137" spans="1:2">
      <c r="A137" s="67"/>
      <c r="B137" s="34"/>
    </row>
    <row r="138" spans="1:2">
      <c r="A138" s="70" t="s">
        <v>181</v>
      </c>
      <c r="B138" s="34"/>
    </row>
    <row r="139" spans="1:2">
      <c r="A139" s="67" t="s">
        <v>182</v>
      </c>
      <c r="B139" s="34">
        <f t="shared" si="6"/>
        <v>5.6712695885301201E-4</v>
      </c>
    </row>
    <row r="140" spans="1:2">
      <c r="A140" s="67" t="s">
        <v>136</v>
      </c>
      <c r="B140" s="34">
        <f t="shared" si="6"/>
        <v>0.543685744590645</v>
      </c>
    </row>
    <row r="141" spans="1:2">
      <c r="A141" s="67" t="s">
        <v>183</v>
      </c>
      <c r="B141" s="34">
        <f t="shared" si="6"/>
        <v>0.93645685305104798</v>
      </c>
    </row>
    <row r="142" spans="1:2">
      <c r="A142" s="67" t="s">
        <v>184</v>
      </c>
      <c r="B142" s="34">
        <f>-B75/$B$78</f>
        <v>6.0908334163417661E-3</v>
      </c>
    </row>
    <row r="143" spans="1:2">
      <c r="A143" s="67" t="s">
        <v>185</v>
      </c>
      <c r="B143" s="34">
        <f>-B76/$B$78</f>
        <v>0.64829458966887898</v>
      </c>
    </row>
    <row r="144" spans="1:2">
      <c r="A144" s="69" t="s">
        <v>186</v>
      </c>
      <c r="B144" s="85">
        <f t="shared" si="6"/>
        <v>0.82632430151532521</v>
      </c>
    </row>
    <row r="145" spans="1:2">
      <c r="A145" s="69" t="s">
        <v>187</v>
      </c>
      <c r="B145" s="34">
        <f t="shared" si="6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C8ED-6C76-4AB5-942C-8C783DEDB15D}">
  <dimension ref="A1:S155"/>
  <sheetViews>
    <sheetView topLeftCell="A67" zoomScale="70" zoomScaleNormal="70" workbookViewId="0">
      <selection activeCell="E19" sqref="E19"/>
    </sheetView>
  </sheetViews>
  <sheetFormatPr defaultRowHeight="14.4"/>
  <cols>
    <col min="1" max="1" width="30.6640625" customWidth="1"/>
    <col min="2" max="2" width="16.21875" customWidth="1"/>
    <col min="3" max="3" width="11.33203125" bestFit="1" customWidth="1"/>
    <col min="4" max="6" width="12.6640625" bestFit="1" customWidth="1"/>
    <col min="7" max="7" width="11.33203125" bestFit="1" customWidth="1"/>
    <col min="8" max="17" width="12.6640625" bestFit="1" customWidth="1"/>
  </cols>
  <sheetData>
    <row r="1" spans="1:17">
      <c r="A1" s="4" t="s">
        <v>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7">
      <c r="A2" s="2" t="s">
        <v>12</v>
      </c>
      <c r="B2" s="3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7">
      <c r="A4" s="47" t="s">
        <v>106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>
      <c r="A5" s="47" t="s">
        <v>107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</row>
    <row r="6" spans="1:17">
      <c r="A6" s="47" t="s">
        <v>32</v>
      </c>
      <c r="B6" s="48">
        <v>2010</v>
      </c>
      <c r="C6" s="47">
        <f>B6+1</f>
        <v>2011</v>
      </c>
      <c r="D6" s="47">
        <f t="shared" ref="D6:N6" si="0">C6+1</f>
        <v>2012</v>
      </c>
      <c r="E6" s="47">
        <f t="shared" si="0"/>
        <v>2013</v>
      </c>
      <c r="F6" s="47">
        <f t="shared" si="0"/>
        <v>2014</v>
      </c>
      <c r="G6" s="47">
        <f t="shared" si="0"/>
        <v>2015</v>
      </c>
      <c r="H6" s="47">
        <f t="shared" si="0"/>
        <v>2016</v>
      </c>
      <c r="I6" s="47">
        <f t="shared" si="0"/>
        <v>2017</v>
      </c>
      <c r="J6" s="47">
        <f t="shared" si="0"/>
        <v>2018</v>
      </c>
      <c r="K6" s="47">
        <f t="shared" si="0"/>
        <v>2019</v>
      </c>
      <c r="L6" s="47">
        <f t="shared" si="0"/>
        <v>2020</v>
      </c>
      <c r="M6" s="47">
        <f t="shared" si="0"/>
        <v>2021</v>
      </c>
      <c r="N6" s="47">
        <f t="shared" si="0"/>
        <v>2022</v>
      </c>
      <c r="O6" s="48" t="s">
        <v>122</v>
      </c>
      <c r="P6" s="48" t="s">
        <v>123</v>
      </c>
      <c r="Q6" s="48" t="s">
        <v>108</v>
      </c>
    </row>
    <row r="7" spans="1:17">
      <c r="A7" s="67" t="s">
        <v>142</v>
      </c>
      <c r="B7" s="57">
        <v>1303942</v>
      </c>
      <c r="C7" s="57">
        <v>1703230</v>
      </c>
      <c r="D7" s="57">
        <v>2060702</v>
      </c>
      <c r="E7" s="57">
        <v>2246428</v>
      </c>
      <c r="F7" s="57">
        <v>2464867</v>
      </c>
      <c r="G7" s="57">
        <v>2722564</v>
      </c>
      <c r="H7" s="57">
        <v>3049393</v>
      </c>
      <c r="I7" s="57">
        <v>3369045</v>
      </c>
      <c r="J7" s="57">
        <v>3807183</v>
      </c>
      <c r="K7" s="57">
        <v>4200819</v>
      </c>
      <c r="L7" s="57">
        <v>4598638</v>
      </c>
      <c r="M7" s="57">
        <v>5541352</v>
      </c>
      <c r="N7" s="57">
        <v>6311050</v>
      </c>
      <c r="O7" s="57">
        <v>7140027</v>
      </c>
      <c r="P7" s="57">
        <v>7492709</v>
      </c>
      <c r="Q7" s="57">
        <v>8294343</v>
      </c>
    </row>
    <row r="8" spans="1:17">
      <c r="A8" s="67" t="s">
        <v>109</v>
      </c>
      <c r="B8" s="57">
        <v>623702</v>
      </c>
      <c r="C8" s="57">
        <v>808921</v>
      </c>
      <c r="D8" s="57">
        <v>995046</v>
      </c>
      <c r="E8" s="57">
        <v>1073497</v>
      </c>
      <c r="F8" s="57">
        <v>1125057</v>
      </c>
      <c r="G8" s="57">
        <v>1090263</v>
      </c>
      <c r="H8" s="57">
        <v>1107393</v>
      </c>
      <c r="I8" s="57">
        <v>1231355</v>
      </c>
      <c r="J8" s="57">
        <v>1511808</v>
      </c>
      <c r="K8" s="57">
        <v>1682234</v>
      </c>
      <c r="L8" s="57">
        <v>1874758</v>
      </c>
      <c r="M8" s="57">
        <v>2432839</v>
      </c>
      <c r="N8" s="57">
        <v>3136483</v>
      </c>
      <c r="O8" s="57">
        <v>3345821</v>
      </c>
      <c r="P8" s="57">
        <v>3443831</v>
      </c>
      <c r="Q8" s="57">
        <v>3662148</v>
      </c>
    </row>
    <row r="9" spans="1:17">
      <c r="A9" s="69" t="s">
        <v>143</v>
      </c>
      <c r="B9" s="58">
        <f t="shared" ref="B9:Q9" si="1">B7-B8</f>
        <v>680240</v>
      </c>
      <c r="C9" s="58">
        <f t="shared" si="1"/>
        <v>894309</v>
      </c>
      <c r="D9" s="58">
        <f t="shared" si="1"/>
        <v>1065656</v>
      </c>
      <c r="E9" s="58">
        <f t="shared" si="1"/>
        <v>1172931</v>
      </c>
      <c r="F9" s="58">
        <f t="shared" si="1"/>
        <v>1339810</v>
      </c>
      <c r="G9" s="58">
        <f t="shared" si="1"/>
        <v>1632301</v>
      </c>
      <c r="H9" s="58">
        <f t="shared" si="1"/>
        <v>1942000</v>
      </c>
      <c r="I9" s="58">
        <f t="shared" si="1"/>
        <v>2137690</v>
      </c>
      <c r="J9" s="58">
        <f t="shared" si="1"/>
        <v>2295375</v>
      </c>
      <c r="K9" s="58">
        <f t="shared" si="1"/>
        <v>2518585</v>
      </c>
      <c r="L9" s="58">
        <f t="shared" si="1"/>
        <v>2723880</v>
      </c>
      <c r="M9" s="58">
        <f t="shared" si="1"/>
        <v>3108513</v>
      </c>
      <c r="N9" s="58">
        <f t="shared" si="1"/>
        <v>3174567</v>
      </c>
      <c r="O9" s="58">
        <f t="shared" si="1"/>
        <v>3794206</v>
      </c>
      <c r="P9" s="58">
        <f t="shared" si="1"/>
        <v>4048878</v>
      </c>
      <c r="Q9" s="58">
        <f t="shared" si="1"/>
        <v>4632195</v>
      </c>
    </row>
    <row r="10" spans="1:17">
      <c r="A10" s="6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</row>
    <row r="11" spans="1:17">
      <c r="A11" s="67" t="s">
        <v>144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7">
        <v>0</v>
      </c>
      <c r="Q11" s="57">
        <v>0</v>
      </c>
    </row>
    <row r="12" spans="1:17">
      <c r="A12" s="67" t="s">
        <v>145</v>
      </c>
      <c r="B12" s="60">
        <v>47400</v>
      </c>
      <c r="C12" s="60">
        <v>60500</v>
      </c>
      <c r="D12" s="60">
        <v>76100</v>
      </c>
      <c r="E12" s="60">
        <v>84000</v>
      </c>
      <c r="F12" s="60">
        <v>92700</v>
      </c>
      <c r="G12" s="60">
        <v>87000</v>
      </c>
      <c r="H12" s="61">
        <v>83600</v>
      </c>
      <c r="I12" s="61">
        <v>91900</v>
      </c>
      <c r="J12" s="61">
        <v>128500</v>
      </c>
      <c r="K12" s="61">
        <v>122500</v>
      </c>
      <c r="L12" s="61">
        <v>134100</v>
      </c>
      <c r="M12" s="61">
        <v>213900</v>
      </c>
      <c r="N12" s="61">
        <v>249200</v>
      </c>
      <c r="O12" s="61">
        <v>223600</v>
      </c>
      <c r="P12" s="61">
        <v>224200</v>
      </c>
      <c r="Q12" s="61">
        <v>237000</v>
      </c>
    </row>
    <row r="13" spans="1:17">
      <c r="A13" s="67" t="s">
        <v>146</v>
      </c>
      <c r="B13" s="60">
        <v>104900</v>
      </c>
      <c r="C13" s="60">
        <v>148800</v>
      </c>
      <c r="D13" s="60">
        <v>165400</v>
      </c>
      <c r="E13" s="60">
        <v>181800</v>
      </c>
      <c r="F13" s="60">
        <v>171500</v>
      </c>
      <c r="G13" s="60">
        <v>209700</v>
      </c>
      <c r="H13" s="61">
        <v>270600</v>
      </c>
      <c r="I13" s="61">
        <v>324000</v>
      </c>
      <c r="J13" s="61">
        <v>353900</v>
      </c>
      <c r="K13" s="61">
        <v>391600</v>
      </c>
      <c r="L13" s="61">
        <v>345700</v>
      </c>
      <c r="M13" s="61">
        <v>417600</v>
      </c>
      <c r="N13" s="61">
        <v>460700</v>
      </c>
      <c r="O13" s="61">
        <v>528900</v>
      </c>
      <c r="P13" s="61">
        <v>584100</v>
      </c>
      <c r="Q13" s="61">
        <v>599900</v>
      </c>
    </row>
    <row r="14" spans="1:17">
      <c r="A14" s="67" t="s">
        <v>147</v>
      </c>
      <c r="B14" s="62">
        <v>180126</v>
      </c>
      <c r="C14" s="62">
        <v>228586</v>
      </c>
      <c r="D14" s="62">
        <v>273533</v>
      </c>
      <c r="E14" s="62">
        <v>334215</v>
      </c>
      <c r="F14" s="62">
        <v>328105</v>
      </c>
      <c r="G14" s="62">
        <v>603418</v>
      </c>
      <c r="H14" s="62">
        <v>502462</v>
      </c>
      <c r="I14" s="62">
        <v>523003</v>
      </c>
      <c r="J14" s="62">
        <v>529356</v>
      </c>
      <c r="K14" s="62">
        <v>601546</v>
      </c>
      <c r="L14" s="62">
        <v>610927</v>
      </c>
      <c r="M14" s="62">
        <v>679546</v>
      </c>
      <c r="N14" s="62">
        <v>879946</v>
      </c>
      <c r="O14" s="62">
        <v>1088351</v>
      </c>
      <c r="P14" s="62">
        <v>1310284</v>
      </c>
      <c r="Q14" s="62">
        <v>1375941</v>
      </c>
    </row>
    <row r="15" spans="1:17">
      <c r="A15" s="75" t="s">
        <v>148</v>
      </c>
      <c r="B15" s="63">
        <f t="shared" ref="B15:Q15" si="2">B14+B13+B12+B11</f>
        <v>332426</v>
      </c>
      <c r="C15" s="63">
        <f t="shared" si="2"/>
        <v>437886</v>
      </c>
      <c r="D15" s="63">
        <f t="shared" si="2"/>
        <v>515033</v>
      </c>
      <c r="E15" s="63">
        <f t="shared" si="2"/>
        <v>600015</v>
      </c>
      <c r="F15" s="63">
        <f t="shared" si="2"/>
        <v>592305</v>
      </c>
      <c r="G15" s="63">
        <f t="shared" si="2"/>
        <v>900118</v>
      </c>
      <c r="H15" s="63">
        <f t="shared" si="2"/>
        <v>856662</v>
      </c>
      <c r="I15" s="63">
        <f t="shared" si="2"/>
        <v>938903</v>
      </c>
      <c r="J15" s="63">
        <f t="shared" si="2"/>
        <v>1011756</v>
      </c>
      <c r="K15" s="63">
        <f t="shared" si="2"/>
        <v>1115646</v>
      </c>
      <c r="L15" s="63">
        <f t="shared" si="2"/>
        <v>1090727</v>
      </c>
      <c r="M15" s="63">
        <f t="shared" si="2"/>
        <v>1311046</v>
      </c>
      <c r="N15" s="63">
        <f t="shared" si="2"/>
        <v>1589846</v>
      </c>
      <c r="O15" s="63">
        <f t="shared" si="2"/>
        <v>1840851</v>
      </c>
      <c r="P15" s="63">
        <f t="shared" si="2"/>
        <v>2118584</v>
      </c>
      <c r="Q15" s="63">
        <f t="shared" si="2"/>
        <v>2212841</v>
      </c>
    </row>
    <row r="16" spans="1:17">
      <c r="A16" s="69" t="s">
        <v>149</v>
      </c>
      <c r="B16" s="58">
        <f t="shared" ref="B16:Q16" si="3">B9-B15</f>
        <v>347814</v>
      </c>
      <c r="C16" s="58">
        <f t="shared" si="3"/>
        <v>456423</v>
      </c>
      <c r="D16" s="58">
        <f t="shared" si="3"/>
        <v>550623</v>
      </c>
      <c r="E16" s="58">
        <f t="shared" si="3"/>
        <v>572916</v>
      </c>
      <c r="F16" s="58">
        <f t="shared" si="3"/>
        <v>747505</v>
      </c>
      <c r="G16" s="58">
        <f t="shared" si="3"/>
        <v>732183</v>
      </c>
      <c r="H16" s="58">
        <f t="shared" si="3"/>
        <v>1085338</v>
      </c>
      <c r="I16" s="58">
        <f t="shared" si="3"/>
        <v>1198787</v>
      </c>
      <c r="J16" s="58">
        <f t="shared" si="3"/>
        <v>1283619</v>
      </c>
      <c r="K16" s="58">
        <f t="shared" si="3"/>
        <v>1402939</v>
      </c>
      <c r="L16" s="58">
        <f t="shared" si="3"/>
        <v>1633153</v>
      </c>
      <c r="M16" s="58">
        <f t="shared" si="3"/>
        <v>1797467</v>
      </c>
      <c r="N16" s="58">
        <f t="shared" si="3"/>
        <v>1584721</v>
      </c>
      <c r="O16" s="58">
        <f t="shared" si="3"/>
        <v>1953355</v>
      </c>
      <c r="P16" s="58">
        <f t="shared" si="3"/>
        <v>1930294</v>
      </c>
      <c r="Q16" s="58">
        <f t="shared" si="3"/>
        <v>2419354</v>
      </c>
    </row>
    <row r="17" spans="1:17">
      <c r="A17" s="6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</row>
    <row r="18" spans="1:17">
      <c r="A18" s="67" t="s">
        <v>150</v>
      </c>
      <c r="B18" s="57">
        <v>0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</row>
    <row r="19" spans="1:17">
      <c r="A19" s="67" t="s">
        <v>151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7">
        <v>0</v>
      </c>
      <c r="N19" s="57">
        <v>0</v>
      </c>
      <c r="O19" s="57">
        <v>0</v>
      </c>
      <c r="P19" s="57">
        <v>0</v>
      </c>
      <c r="Q19" s="57">
        <v>0</v>
      </c>
    </row>
    <row r="20" spans="1:17">
      <c r="A20" s="67" t="s">
        <v>152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64">
        <v>-2105</v>
      </c>
      <c r="H20" s="64">
        <v>-5653</v>
      </c>
      <c r="I20" s="57">
        <v>2836</v>
      </c>
      <c r="J20" s="57">
        <v>9653</v>
      </c>
      <c r="K20" s="57">
        <v>13023</v>
      </c>
      <c r="L20" s="64">
        <v>-6996</v>
      </c>
      <c r="M20" s="57">
        <v>3952</v>
      </c>
      <c r="N20" s="64">
        <v>-12757</v>
      </c>
      <c r="O20" s="57">
        <v>115127</v>
      </c>
      <c r="P20" s="57">
        <v>59165</v>
      </c>
      <c r="Q20" s="57">
        <v>63175</v>
      </c>
    </row>
    <row r="21" spans="1:17">
      <c r="A21" s="69" t="s">
        <v>153</v>
      </c>
      <c r="B21" s="65">
        <f t="shared" ref="B21:Q21" si="4">B16-B19+B18-B20</f>
        <v>347814</v>
      </c>
      <c r="C21" s="65">
        <f t="shared" si="4"/>
        <v>456423</v>
      </c>
      <c r="D21" s="65">
        <f t="shared" si="4"/>
        <v>550623</v>
      </c>
      <c r="E21" s="65">
        <f t="shared" si="4"/>
        <v>572916</v>
      </c>
      <c r="F21" s="65">
        <f t="shared" si="4"/>
        <v>747505</v>
      </c>
      <c r="G21" s="65">
        <f t="shared" si="4"/>
        <v>734288</v>
      </c>
      <c r="H21" s="65">
        <f t="shared" si="4"/>
        <v>1090991</v>
      </c>
      <c r="I21" s="65">
        <f t="shared" si="4"/>
        <v>1195951</v>
      </c>
      <c r="J21" s="65">
        <f t="shared" si="4"/>
        <v>1273966</v>
      </c>
      <c r="K21" s="65">
        <f t="shared" si="4"/>
        <v>1389916</v>
      </c>
      <c r="L21" s="65">
        <f t="shared" si="4"/>
        <v>1640149</v>
      </c>
      <c r="M21" s="65">
        <f t="shared" si="4"/>
        <v>1793515</v>
      </c>
      <c r="N21" s="65">
        <f t="shared" si="4"/>
        <v>1597478</v>
      </c>
      <c r="O21" s="65">
        <f t="shared" si="4"/>
        <v>1838228</v>
      </c>
      <c r="P21" s="65">
        <f t="shared" si="4"/>
        <v>1871129</v>
      </c>
      <c r="Q21" s="65">
        <f t="shared" si="4"/>
        <v>2356179</v>
      </c>
    </row>
    <row r="22" spans="1:17">
      <c r="A22" s="6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</row>
    <row r="23" spans="1:17">
      <c r="A23" s="67" t="s">
        <v>154</v>
      </c>
      <c r="B23" s="57">
        <v>137273</v>
      </c>
      <c r="C23" s="57">
        <v>171051</v>
      </c>
      <c r="D23" s="57">
        <v>209134</v>
      </c>
      <c r="E23" s="57">
        <v>225233</v>
      </c>
      <c r="F23" s="57">
        <v>262603</v>
      </c>
      <c r="G23" s="57">
        <v>344815</v>
      </c>
      <c r="H23" s="57">
        <v>367000</v>
      </c>
      <c r="I23" s="57">
        <v>380945</v>
      </c>
      <c r="J23" s="57">
        <v>300268</v>
      </c>
      <c r="K23" s="57">
        <v>308127</v>
      </c>
      <c r="L23" s="57">
        <v>216563</v>
      </c>
      <c r="M23" s="57">
        <v>423944</v>
      </c>
      <c r="N23" s="57">
        <v>380340</v>
      </c>
      <c r="O23" s="57">
        <v>437494</v>
      </c>
      <c r="P23" s="57">
        <v>480411</v>
      </c>
      <c r="Q23" s="57">
        <v>577097</v>
      </c>
    </row>
    <row r="24" spans="1:17">
      <c r="A24" s="69" t="s">
        <v>155</v>
      </c>
      <c r="B24" s="58">
        <f t="shared" ref="B24:Q24" si="5">B21-B23</f>
        <v>210541</v>
      </c>
      <c r="C24" s="58">
        <f t="shared" si="5"/>
        <v>285372</v>
      </c>
      <c r="D24" s="58">
        <f t="shared" si="5"/>
        <v>341489</v>
      </c>
      <c r="E24" s="58">
        <f t="shared" si="5"/>
        <v>347683</v>
      </c>
      <c r="F24" s="58">
        <f t="shared" si="5"/>
        <v>484902</v>
      </c>
      <c r="G24" s="58">
        <f t="shared" si="5"/>
        <v>389473</v>
      </c>
      <c r="H24" s="58">
        <f t="shared" si="5"/>
        <v>723991</v>
      </c>
      <c r="I24" s="58">
        <f t="shared" si="5"/>
        <v>815006</v>
      </c>
      <c r="J24" s="58">
        <f t="shared" si="5"/>
        <v>973698</v>
      </c>
      <c r="K24" s="58">
        <f t="shared" si="5"/>
        <v>1081789</v>
      </c>
      <c r="L24" s="58">
        <f t="shared" si="5"/>
        <v>1423586</v>
      </c>
      <c r="M24" s="58">
        <f t="shared" si="5"/>
        <v>1369571</v>
      </c>
      <c r="N24" s="58">
        <f t="shared" si="5"/>
        <v>1217138</v>
      </c>
      <c r="O24" s="58">
        <f t="shared" si="5"/>
        <v>1400734</v>
      </c>
      <c r="P24" s="58">
        <f t="shared" si="5"/>
        <v>1390718</v>
      </c>
      <c r="Q24" s="58">
        <f t="shared" si="5"/>
        <v>1779082</v>
      </c>
    </row>
    <row r="25" spans="1:17">
      <c r="A25" s="70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spans="1:17">
      <c r="A26" s="47" t="s">
        <v>106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</row>
    <row r="27" spans="1:17">
      <c r="A27" s="47" t="s">
        <v>137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</row>
    <row r="28" spans="1:17">
      <c r="A28" s="47"/>
      <c r="B28" s="47">
        <v>2010</v>
      </c>
      <c r="C28" s="47">
        <f>B28+1</f>
        <v>2011</v>
      </c>
      <c r="D28" s="47">
        <f t="shared" ref="D28:N28" si="6">C28+1</f>
        <v>2012</v>
      </c>
      <c r="E28" s="47">
        <f t="shared" si="6"/>
        <v>2013</v>
      </c>
      <c r="F28" s="47">
        <f t="shared" si="6"/>
        <v>2014</v>
      </c>
      <c r="G28" s="47">
        <f t="shared" si="6"/>
        <v>2015</v>
      </c>
      <c r="H28" s="47">
        <f t="shared" si="6"/>
        <v>2016</v>
      </c>
      <c r="I28" s="47">
        <f t="shared" si="6"/>
        <v>2017</v>
      </c>
      <c r="J28" s="47">
        <f t="shared" si="6"/>
        <v>2018</v>
      </c>
      <c r="K28" s="47">
        <f t="shared" si="6"/>
        <v>2019</v>
      </c>
      <c r="L28" s="47">
        <f t="shared" si="6"/>
        <v>2020</v>
      </c>
      <c r="M28" s="47">
        <f t="shared" si="6"/>
        <v>2021</v>
      </c>
      <c r="N28" s="47">
        <f t="shared" si="6"/>
        <v>2022</v>
      </c>
      <c r="O28" s="47">
        <v>2023</v>
      </c>
      <c r="P28" s="47">
        <f>O28+1</f>
        <v>2024</v>
      </c>
      <c r="Q28" s="47">
        <f t="shared" ref="Q28" si="7">P28+1</f>
        <v>2025</v>
      </c>
    </row>
    <row r="29" spans="1:17">
      <c r="A29" s="70" t="s">
        <v>189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</row>
    <row r="30" spans="1:17">
      <c r="A30" s="67" t="s">
        <v>124</v>
      </c>
      <c r="B30" s="57">
        <v>354842</v>
      </c>
      <c r="C30" s="57">
        <v>359331</v>
      </c>
      <c r="D30" s="57">
        <v>222514</v>
      </c>
      <c r="E30" s="57">
        <v>211349</v>
      </c>
      <c r="F30" s="57">
        <v>370323</v>
      </c>
      <c r="G30" s="57">
        <v>2175417</v>
      </c>
      <c r="H30" s="57">
        <v>377582</v>
      </c>
      <c r="I30" s="57">
        <v>528622</v>
      </c>
      <c r="J30" s="57">
        <v>637513</v>
      </c>
      <c r="K30" s="57">
        <v>797957</v>
      </c>
      <c r="L30" s="57">
        <v>1180413</v>
      </c>
      <c r="M30" s="57">
        <v>1326462</v>
      </c>
      <c r="N30" s="57">
        <v>1307141</v>
      </c>
      <c r="O30" s="57">
        <v>2297675</v>
      </c>
      <c r="P30" s="57">
        <v>1533287</v>
      </c>
      <c r="Q30" s="57">
        <v>2088117</v>
      </c>
    </row>
    <row r="31" spans="1:17">
      <c r="A31" s="67" t="s">
        <v>125</v>
      </c>
      <c r="B31" s="57">
        <v>244649</v>
      </c>
      <c r="C31" s="57">
        <v>411282</v>
      </c>
      <c r="D31" s="57">
        <v>97042</v>
      </c>
      <c r="E31" s="57">
        <v>402247</v>
      </c>
      <c r="F31" s="57">
        <v>781134</v>
      </c>
      <c r="G31" s="57">
        <v>744610</v>
      </c>
      <c r="H31" s="57">
        <v>220554</v>
      </c>
      <c r="I31" s="57">
        <v>672933</v>
      </c>
      <c r="J31" s="57">
        <v>320650</v>
      </c>
      <c r="K31" s="57">
        <v>533063</v>
      </c>
      <c r="L31" s="57">
        <v>881354</v>
      </c>
      <c r="M31" s="57">
        <v>1749727</v>
      </c>
      <c r="N31" s="57">
        <v>1362314</v>
      </c>
      <c r="O31" s="57">
        <v>955605</v>
      </c>
      <c r="P31" s="57">
        <v>0</v>
      </c>
      <c r="Q31" s="57">
        <v>677084</v>
      </c>
    </row>
    <row r="32" spans="1:17">
      <c r="A32" s="67" t="s">
        <v>126</v>
      </c>
      <c r="B32" s="57">
        <v>101635</v>
      </c>
      <c r="C32" s="57">
        <v>218741</v>
      </c>
      <c r="D32" s="57">
        <v>236710</v>
      </c>
      <c r="E32" s="57">
        <f>291638+4542</f>
        <v>296180</v>
      </c>
      <c r="F32" s="57">
        <f>280203+552</f>
        <v>280755</v>
      </c>
      <c r="G32" s="57">
        <f>352955+125000</f>
        <v>477955</v>
      </c>
      <c r="H32" s="57">
        <f>448051+125000</f>
        <v>573051</v>
      </c>
      <c r="I32" s="57">
        <v>449476</v>
      </c>
      <c r="J32" s="57">
        <v>484562</v>
      </c>
      <c r="K32" s="57">
        <v>540330</v>
      </c>
      <c r="L32" s="57">
        <v>666012</v>
      </c>
      <c r="M32" s="57">
        <v>896658</v>
      </c>
      <c r="N32" s="57">
        <v>1016203</v>
      </c>
      <c r="O32" s="57">
        <v>1193964</v>
      </c>
      <c r="P32" s="57">
        <v>1221646</v>
      </c>
      <c r="Q32" s="57">
        <v>1618072</v>
      </c>
    </row>
    <row r="33" spans="1:17">
      <c r="A33" s="67" t="s">
        <v>127</v>
      </c>
      <c r="B33" s="57">
        <v>153241</v>
      </c>
      <c r="C33" s="57">
        <v>155613</v>
      </c>
      <c r="D33" s="57">
        <v>203106</v>
      </c>
      <c r="E33" s="57">
        <v>221449</v>
      </c>
      <c r="F33" s="57">
        <v>174573</v>
      </c>
      <c r="G33" s="57">
        <v>156121</v>
      </c>
      <c r="H33" s="57">
        <v>161971</v>
      </c>
      <c r="I33" s="57">
        <v>255745</v>
      </c>
      <c r="J33" s="57">
        <v>277705</v>
      </c>
      <c r="K33" s="57">
        <v>360731</v>
      </c>
      <c r="L33" s="57">
        <v>333085</v>
      </c>
      <c r="M33" s="57">
        <v>593357</v>
      </c>
      <c r="N33" s="57">
        <v>935631</v>
      </c>
      <c r="O33" s="57">
        <v>971406</v>
      </c>
      <c r="P33" s="57">
        <v>737107</v>
      </c>
      <c r="Q33" s="57">
        <v>799623</v>
      </c>
    </row>
    <row r="34" spans="1:17">
      <c r="A34" s="67" t="s">
        <v>128</v>
      </c>
      <c r="B34" s="57">
        <v>17022</v>
      </c>
      <c r="C34" s="57">
        <v>20912</v>
      </c>
      <c r="D34" s="57">
        <v>24983</v>
      </c>
      <c r="E34" s="57">
        <v>21376</v>
      </c>
      <c r="F34" s="57">
        <v>19673</v>
      </c>
      <c r="G34" s="57">
        <v>26967</v>
      </c>
      <c r="H34" s="57">
        <v>32562</v>
      </c>
      <c r="I34" s="57">
        <v>40877</v>
      </c>
      <c r="J34" s="57">
        <v>44909</v>
      </c>
      <c r="K34" s="57">
        <v>54868</v>
      </c>
      <c r="L34" s="57">
        <v>55358</v>
      </c>
      <c r="M34" s="57">
        <v>82668</v>
      </c>
      <c r="N34" s="57">
        <v>109823</v>
      </c>
      <c r="O34" s="57">
        <v>116195</v>
      </c>
      <c r="P34" s="57">
        <v>107262</v>
      </c>
      <c r="Q34" s="57">
        <v>103551</v>
      </c>
    </row>
    <row r="35" spans="1:17">
      <c r="A35" s="67" t="s">
        <v>157</v>
      </c>
      <c r="B35" s="57"/>
      <c r="C35" s="57"/>
      <c r="D35" s="57"/>
      <c r="E35" s="57">
        <v>0</v>
      </c>
      <c r="F35" s="57">
        <v>18079</v>
      </c>
      <c r="G35" s="57">
        <v>0</v>
      </c>
      <c r="H35" s="57">
        <v>0</v>
      </c>
      <c r="I35" s="57"/>
      <c r="J35" s="57"/>
      <c r="K35" s="57"/>
      <c r="L35" s="57"/>
      <c r="M35" s="57"/>
      <c r="N35" s="57"/>
      <c r="O35" s="57"/>
      <c r="P35" s="57"/>
      <c r="Q35" s="57"/>
    </row>
    <row r="36" spans="1:17">
      <c r="A36" s="67" t="s">
        <v>158</v>
      </c>
      <c r="B36" s="57">
        <v>9992</v>
      </c>
      <c r="C36" s="57">
        <v>370</v>
      </c>
      <c r="D36" s="57">
        <v>33709</v>
      </c>
      <c r="E36" s="57">
        <v>9518</v>
      </c>
      <c r="F36" s="57">
        <v>8617</v>
      </c>
      <c r="G36" s="57">
        <v>18462</v>
      </c>
      <c r="H36" s="57">
        <v>66550</v>
      </c>
      <c r="I36" s="57">
        <v>138724</v>
      </c>
      <c r="J36" s="57">
        <v>38831</v>
      </c>
      <c r="K36" s="57"/>
      <c r="L36" s="57">
        <v>24733</v>
      </c>
      <c r="M36" s="57">
        <v>33238</v>
      </c>
      <c r="N36" s="57">
        <v>33785</v>
      </c>
      <c r="O36" s="57">
        <v>54151</v>
      </c>
      <c r="P36" s="57">
        <v>42202</v>
      </c>
      <c r="Q36" s="57">
        <v>74637</v>
      </c>
    </row>
    <row r="37" spans="1:17">
      <c r="A37" s="67" t="s">
        <v>159</v>
      </c>
      <c r="B37" s="57">
        <v>16772</v>
      </c>
      <c r="C37" s="57">
        <v>16428</v>
      </c>
      <c r="D37" s="57">
        <v>17004</v>
      </c>
      <c r="E37" s="57">
        <v>20924</v>
      </c>
      <c r="F37" s="57">
        <v>40275</v>
      </c>
      <c r="G37" s="57">
        <v>0</v>
      </c>
      <c r="H37" s="57">
        <v>0</v>
      </c>
      <c r="I37" s="57"/>
      <c r="J37" s="57"/>
      <c r="K37" s="57"/>
      <c r="L37" s="57"/>
      <c r="M37" s="57"/>
      <c r="N37" s="57"/>
      <c r="O37" s="57"/>
      <c r="P37" s="57"/>
      <c r="Q37" s="57"/>
    </row>
    <row r="38" spans="1:17">
      <c r="A38" s="69" t="s">
        <v>129</v>
      </c>
      <c r="B38" s="65">
        <f t="shared" ref="B38:Q38" si="8">B37+B34+B33+B32+B31+B30+B36+B35</f>
        <v>898153</v>
      </c>
      <c r="C38" s="65">
        <f t="shared" si="8"/>
        <v>1182677</v>
      </c>
      <c r="D38" s="65">
        <f t="shared" si="8"/>
        <v>835068</v>
      </c>
      <c r="E38" s="65">
        <f t="shared" si="8"/>
        <v>1183043</v>
      </c>
      <c r="F38" s="65">
        <f t="shared" si="8"/>
        <v>1693429</v>
      </c>
      <c r="G38" s="65">
        <f t="shared" si="8"/>
        <v>3599532</v>
      </c>
      <c r="H38" s="65">
        <f t="shared" si="8"/>
        <v>1432270</v>
      </c>
      <c r="I38" s="65">
        <f t="shared" si="8"/>
        <v>2086377</v>
      </c>
      <c r="J38" s="65">
        <f t="shared" si="8"/>
        <v>1804170</v>
      </c>
      <c r="K38" s="65">
        <f t="shared" si="8"/>
        <v>2286949</v>
      </c>
      <c r="L38" s="65">
        <f t="shared" si="8"/>
        <v>3140955</v>
      </c>
      <c r="M38" s="65">
        <f t="shared" si="8"/>
        <v>4682110</v>
      </c>
      <c r="N38" s="65">
        <f t="shared" si="8"/>
        <v>4764897</v>
      </c>
      <c r="O38" s="65">
        <f t="shared" si="8"/>
        <v>5588996</v>
      </c>
      <c r="P38" s="65">
        <f t="shared" si="8"/>
        <v>3641504</v>
      </c>
      <c r="Q38" s="65">
        <f t="shared" si="8"/>
        <v>5361084</v>
      </c>
    </row>
    <row r="39" spans="1:17">
      <c r="A39" s="70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</row>
    <row r="40" spans="1:17">
      <c r="A40" s="70" t="s">
        <v>160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</row>
    <row r="41" spans="1:17">
      <c r="A41" s="67" t="s">
        <v>161</v>
      </c>
      <c r="B41" s="61">
        <v>44189</v>
      </c>
      <c r="C41" s="61">
        <v>23194</v>
      </c>
      <c r="D41" s="61">
        <v>21393</v>
      </c>
      <c r="E41" s="61">
        <v>9792</v>
      </c>
      <c r="F41" s="61">
        <v>42940</v>
      </c>
      <c r="G41" s="61">
        <v>15348</v>
      </c>
      <c r="H41" s="61">
        <v>2394</v>
      </c>
      <c r="I41" s="61">
        <v>2366</v>
      </c>
      <c r="J41" s="61"/>
      <c r="K41" s="61"/>
      <c r="L41" s="61">
        <v>44291</v>
      </c>
      <c r="M41" s="61">
        <v>99419</v>
      </c>
      <c r="N41" s="61">
        <v>61443</v>
      </c>
      <c r="O41" s="61">
        <v>76431</v>
      </c>
      <c r="P41" s="61">
        <v>0</v>
      </c>
      <c r="Q41" s="61">
        <v>48329</v>
      </c>
    </row>
    <row r="42" spans="1:17">
      <c r="A42" s="67" t="s">
        <v>162</v>
      </c>
      <c r="B42" s="57">
        <v>34551</v>
      </c>
      <c r="C42" s="57">
        <v>45151</v>
      </c>
      <c r="D42" s="57">
        <v>69137</v>
      </c>
      <c r="E42" s="57">
        <v>88143</v>
      </c>
      <c r="F42" s="57">
        <v>90156</v>
      </c>
      <c r="G42" s="57">
        <v>97354</v>
      </c>
      <c r="H42" s="57">
        <v>173343</v>
      </c>
      <c r="I42" s="57">
        <v>230276</v>
      </c>
      <c r="J42" s="57">
        <v>243051</v>
      </c>
      <c r="K42" s="57">
        <v>298640</v>
      </c>
      <c r="L42" s="57">
        <v>314656</v>
      </c>
      <c r="M42" s="57">
        <v>313753</v>
      </c>
      <c r="N42" s="57">
        <v>516897</v>
      </c>
      <c r="O42" s="57">
        <v>890796</v>
      </c>
      <c r="P42" s="57">
        <v>1047024</v>
      </c>
      <c r="Q42" s="57">
        <v>1081544</v>
      </c>
    </row>
    <row r="43" spans="1:17">
      <c r="A43" s="67" t="s">
        <v>163</v>
      </c>
      <c r="B43" s="57">
        <v>58475</v>
      </c>
      <c r="C43" s="57">
        <v>58576</v>
      </c>
      <c r="D43" s="57">
        <v>59503</v>
      </c>
      <c r="E43" s="57">
        <v>63611</v>
      </c>
      <c r="F43" s="57">
        <v>54106</v>
      </c>
      <c r="G43" s="57">
        <v>140468</v>
      </c>
      <c r="H43" s="57">
        <v>159556</v>
      </c>
      <c r="I43" s="57">
        <v>92333</v>
      </c>
      <c r="J43" s="57">
        <v>85687</v>
      </c>
      <c r="K43" s="57"/>
      <c r="L43" s="57">
        <v>241650</v>
      </c>
      <c r="M43" s="57">
        <v>225221</v>
      </c>
      <c r="N43" s="57">
        <v>177039</v>
      </c>
      <c r="O43" s="57">
        <v>175003</v>
      </c>
      <c r="P43" s="57">
        <v>184260</v>
      </c>
      <c r="Q43" s="57">
        <v>188646</v>
      </c>
    </row>
    <row r="44" spans="1:17">
      <c r="A44" s="67" t="s">
        <v>164</v>
      </c>
      <c r="B44" s="57">
        <v>43316</v>
      </c>
      <c r="C44" s="57">
        <v>48396</v>
      </c>
      <c r="D44" s="57">
        <v>54648</v>
      </c>
      <c r="E44" s="57">
        <v>65774</v>
      </c>
      <c r="F44" s="57">
        <v>50748</v>
      </c>
      <c r="G44" s="57">
        <v>427986</v>
      </c>
      <c r="H44" s="57">
        <v>1032635</v>
      </c>
      <c r="I44" s="57">
        <v>1034085</v>
      </c>
      <c r="J44" s="57">
        <v>1045878</v>
      </c>
      <c r="K44" s="57">
        <v>1052105</v>
      </c>
      <c r="L44" s="57">
        <v>1059046</v>
      </c>
      <c r="M44" s="57">
        <v>1072386</v>
      </c>
      <c r="N44" s="57">
        <v>1220410</v>
      </c>
      <c r="O44" s="57">
        <v>1427139</v>
      </c>
      <c r="P44" s="57">
        <v>1414252</v>
      </c>
      <c r="Q44" s="57">
        <v>1379268</v>
      </c>
    </row>
    <row r="45" spans="1:17">
      <c r="A45" s="67" t="s">
        <v>165</v>
      </c>
      <c r="B45" s="57">
        <v>0</v>
      </c>
      <c r="C45" s="57">
        <v>0</v>
      </c>
      <c r="D45" s="57">
        <v>0</v>
      </c>
      <c r="E45" s="57">
        <v>0</v>
      </c>
      <c r="F45" s="57">
        <v>0</v>
      </c>
      <c r="G45" s="57">
        <v>1279715</v>
      </c>
      <c r="H45" s="57">
        <v>1331643</v>
      </c>
      <c r="I45" s="57">
        <v>1331643</v>
      </c>
      <c r="J45" s="57">
        <v>1331643</v>
      </c>
      <c r="K45" s="57">
        <v>1331643</v>
      </c>
      <c r="L45" s="57">
        <v>1331643</v>
      </c>
      <c r="M45" s="57">
        <v>1331643</v>
      </c>
      <c r="N45" s="57">
        <v>1417941</v>
      </c>
      <c r="O45" s="57">
        <v>1417941</v>
      </c>
      <c r="P45" s="57">
        <v>1331643</v>
      </c>
      <c r="Q45" s="57">
        <v>1331643</v>
      </c>
    </row>
    <row r="46" spans="1:17">
      <c r="A46" s="67" t="s">
        <v>166</v>
      </c>
      <c r="B46" s="57">
        <v>3447</v>
      </c>
      <c r="C46" s="57">
        <v>4405</v>
      </c>
      <c r="D46" s="57">
        <v>3576</v>
      </c>
      <c r="E46" s="57">
        <v>10146</v>
      </c>
      <c r="F46" s="57">
        <v>7496</v>
      </c>
      <c r="G46" s="57">
        <v>10874</v>
      </c>
      <c r="H46" s="57">
        <v>21630</v>
      </c>
      <c r="I46" s="57">
        <v>13932</v>
      </c>
      <c r="J46" s="57">
        <v>16462</v>
      </c>
      <c r="K46" s="57">
        <v>53973</v>
      </c>
      <c r="L46" s="57">
        <v>70475</v>
      </c>
      <c r="M46" s="57">
        <v>80252</v>
      </c>
      <c r="N46" s="57">
        <v>134478</v>
      </c>
      <c r="O46" s="57">
        <v>110216</v>
      </c>
      <c r="P46" s="57">
        <v>100406</v>
      </c>
      <c r="Q46" s="57">
        <v>159431</v>
      </c>
    </row>
    <row r="47" spans="1:17">
      <c r="A47" s="67" t="s">
        <v>167</v>
      </c>
      <c r="B47" s="61">
        <f t="shared" ref="B47:Q47" si="9">B46+B45+B44+B42+B43+B41</f>
        <v>183978</v>
      </c>
      <c r="C47" s="61">
        <f t="shared" si="9"/>
        <v>179722</v>
      </c>
      <c r="D47" s="61">
        <f t="shared" si="9"/>
        <v>208257</v>
      </c>
      <c r="E47" s="61">
        <f t="shared" si="9"/>
        <v>237466</v>
      </c>
      <c r="F47" s="61">
        <f t="shared" si="9"/>
        <v>245446</v>
      </c>
      <c r="G47" s="61">
        <f t="shared" si="9"/>
        <v>1971745</v>
      </c>
      <c r="H47" s="61">
        <f t="shared" si="9"/>
        <v>2721201</v>
      </c>
      <c r="I47" s="61">
        <f t="shared" si="9"/>
        <v>2704635</v>
      </c>
      <c r="J47" s="61">
        <f t="shared" si="9"/>
        <v>2722721</v>
      </c>
      <c r="K47" s="61">
        <f t="shared" si="9"/>
        <v>2736361</v>
      </c>
      <c r="L47" s="61">
        <f t="shared" si="9"/>
        <v>3061761</v>
      </c>
      <c r="M47" s="61">
        <f t="shared" si="9"/>
        <v>3122674</v>
      </c>
      <c r="N47" s="61">
        <f t="shared" si="9"/>
        <v>3528208</v>
      </c>
      <c r="O47" s="61">
        <f t="shared" si="9"/>
        <v>4097526</v>
      </c>
      <c r="P47" s="61">
        <f t="shared" si="9"/>
        <v>4077585</v>
      </c>
      <c r="Q47" s="61">
        <f t="shared" si="9"/>
        <v>4188861</v>
      </c>
    </row>
    <row r="48" spans="1:17">
      <c r="A48" s="76" t="s">
        <v>168</v>
      </c>
      <c r="B48" s="80">
        <f t="shared" ref="B48:Q48" si="10">B47+B38</f>
        <v>1082131</v>
      </c>
      <c r="C48" s="80">
        <f t="shared" si="10"/>
        <v>1362399</v>
      </c>
      <c r="D48" s="80">
        <f t="shared" si="10"/>
        <v>1043325</v>
      </c>
      <c r="E48" s="80">
        <f t="shared" si="10"/>
        <v>1420509</v>
      </c>
      <c r="F48" s="80">
        <f t="shared" si="10"/>
        <v>1938875</v>
      </c>
      <c r="G48" s="80">
        <f t="shared" si="10"/>
        <v>5571277</v>
      </c>
      <c r="H48" s="80">
        <f t="shared" si="10"/>
        <v>4153471</v>
      </c>
      <c r="I48" s="80">
        <f t="shared" si="10"/>
        <v>4791012</v>
      </c>
      <c r="J48" s="80">
        <f t="shared" si="10"/>
        <v>4526891</v>
      </c>
      <c r="K48" s="80">
        <f t="shared" si="10"/>
        <v>5023310</v>
      </c>
      <c r="L48" s="80">
        <f t="shared" si="10"/>
        <v>6202716</v>
      </c>
      <c r="M48" s="80">
        <f t="shared" si="10"/>
        <v>7804784</v>
      </c>
      <c r="N48" s="80">
        <f t="shared" si="10"/>
        <v>8293105</v>
      </c>
      <c r="O48" s="80">
        <f t="shared" si="10"/>
        <v>9686522</v>
      </c>
      <c r="P48" s="80">
        <f t="shared" si="10"/>
        <v>7719089</v>
      </c>
      <c r="Q48" s="80">
        <f t="shared" si="10"/>
        <v>9549945</v>
      </c>
    </row>
    <row r="49" spans="1:17">
      <c r="A49" s="70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</row>
    <row r="50" spans="1:17">
      <c r="A50" s="70" t="s">
        <v>169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17">
      <c r="A51" s="67" t="s">
        <v>170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>
      <c r="A52" s="67" t="s">
        <v>130</v>
      </c>
      <c r="B52" s="57">
        <v>85674</v>
      </c>
      <c r="C52" s="57">
        <v>113446</v>
      </c>
      <c r="D52" s="57">
        <v>127330</v>
      </c>
      <c r="E52" s="57">
        <v>119376</v>
      </c>
      <c r="F52" s="57">
        <v>127641</v>
      </c>
      <c r="G52" s="57">
        <v>144763</v>
      </c>
      <c r="H52" s="57">
        <v>193270</v>
      </c>
      <c r="I52" s="57">
        <v>245910</v>
      </c>
      <c r="J52" s="57">
        <v>248760</v>
      </c>
      <c r="K52" s="57">
        <v>274045</v>
      </c>
      <c r="L52" s="57">
        <v>296800</v>
      </c>
      <c r="M52" s="57">
        <v>404263</v>
      </c>
      <c r="N52" s="57">
        <v>444265</v>
      </c>
      <c r="O52" s="57">
        <v>564379</v>
      </c>
      <c r="P52" s="57">
        <v>466775</v>
      </c>
      <c r="Q52" s="57">
        <v>565974</v>
      </c>
    </row>
    <row r="53" spans="1:17">
      <c r="A53" s="67" t="s">
        <v>131</v>
      </c>
      <c r="B53" s="57">
        <v>23811</v>
      </c>
      <c r="C53" s="57">
        <v>31966</v>
      </c>
      <c r="D53" s="57">
        <v>38916</v>
      </c>
      <c r="E53" s="57">
        <v>59113</v>
      </c>
      <c r="F53" s="57">
        <v>40271</v>
      </c>
      <c r="G53" s="57">
        <v>81786</v>
      </c>
      <c r="H53" s="57">
        <v>79526</v>
      </c>
      <c r="I53" s="57">
        <v>87475</v>
      </c>
      <c r="J53" s="57">
        <v>112507</v>
      </c>
      <c r="K53" s="57">
        <v>114075</v>
      </c>
      <c r="L53" s="57">
        <v>142653</v>
      </c>
      <c r="M53" s="57">
        <v>210964</v>
      </c>
      <c r="N53" s="57">
        <v>172991</v>
      </c>
      <c r="O53" s="57">
        <v>183988</v>
      </c>
      <c r="P53" s="57">
        <v>220764</v>
      </c>
      <c r="Q53" s="57">
        <v>306085</v>
      </c>
    </row>
    <row r="54" spans="1:17">
      <c r="A54" s="67" t="s">
        <v>171</v>
      </c>
      <c r="B54" s="57">
        <v>407</v>
      </c>
      <c r="C54" s="57"/>
      <c r="D54" s="57"/>
      <c r="E54" s="57"/>
      <c r="F54" s="57"/>
      <c r="G54" s="57">
        <v>11018</v>
      </c>
      <c r="H54" s="57">
        <v>8184</v>
      </c>
      <c r="I54" s="57">
        <v>91</v>
      </c>
      <c r="J54" s="57">
        <v>0</v>
      </c>
      <c r="K54" s="57"/>
      <c r="L54" s="57"/>
      <c r="M54" s="57"/>
      <c r="N54" s="57"/>
      <c r="O54" s="57"/>
      <c r="P54" s="57"/>
      <c r="Q54" s="57"/>
    </row>
    <row r="55" spans="1:17">
      <c r="A55" s="67" t="s">
        <v>133</v>
      </c>
      <c r="B55" s="57">
        <v>10140</v>
      </c>
      <c r="C55" s="57">
        <v>11583</v>
      </c>
      <c r="D55" s="57">
        <v>12695</v>
      </c>
      <c r="E55" s="57">
        <v>13832</v>
      </c>
      <c r="F55" s="57">
        <v>49926</v>
      </c>
      <c r="G55" s="57">
        <v>32271</v>
      </c>
      <c r="H55" s="57">
        <v>41672</v>
      </c>
      <c r="I55" s="57">
        <v>43236</v>
      </c>
      <c r="J55" s="57">
        <v>44045</v>
      </c>
      <c r="K55" s="57"/>
      <c r="L55" s="57">
        <v>45429</v>
      </c>
      <c r="M55" s="57">
        <v>42530</v>
      </c>
      <c r="N55" s="57">
        <v>43311</v>
      </c>
      <c r="O55" s="57">
        <v>41914</v>
      </c>
      <c r="P55" s="57">
        <v>45809</v>
      </c>
      <c r="Q55" s="57">
        <v>45323</v>
      </c>
    </row>
    <row r="56" spans="1:17">
      <c r="A56" s="67" t="s">
        <v>172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</row>
    <row r="57" spans="1:17">
      <c r="A57" s="67" t="s">
        <v>132</v>
      </c>
      <c r="B57" s="61">
        <v>0</v>
      </c>
      <c r="C57" s="57">
        <v>87746</v>
      </c>
      <c r="D57" s="57">
        <v>91208</v>
      </c>
      <c r="E57" s="57">
        <v>99470</v>
      </c>
      <c r="F57" s="57">
        <v>114047</v>
      </c>
      <c r="G57" s="57">
        <v>115530</v>
      </c>
      <c r="H57" s="57">
        <v>110237</v>
      </c>
      <c r="I57" s="57">
        <v>137998</v>
      </c>
      <c r="J57" s="57">
        <v>145741</v>
      </c>
      <c r="K57" s="57">
        <v>166761</v>
      </c>
      <c r="L57" s="57">
        <v>186658</v>
      </c>
      <c r="M57" s="57">
        <v>211461</v>
      </c>
      <c r="N57" s="57">
        <v>255631</v>
      </c>
      <c r="O57" s="57">
        <v>269061</v>
      </c>
      <c r="P57" s="57">
        <v>267711</v>
      </c>
      <c r="Q57" s="57">
        <v>384070</v>
      </c>
    </row>
    <row r="58" spans="1:17">
      <c r="A58" s="67" t="s">
        <v>134</v>
      </c>
      <c r="B58" s="57">
        <v>7603</v>
      </c>
      <c r="C58" s="57">
        <v>10353</v>
      </c>
      <c r="D58" s="57">
        <v>12926</v>
      </c>
      <c r="E58" s="57">
        <v>14864</v>
      </c>
      <c r="F58" s="57">
        <v>17983</v>
      </c>
      <c r="G58" s="57">
        <v>22159</v>
      </c>
      <c r="H58" s="57">
        <v>30043</v>
      </c>
      <c r="I58" s="57">
        <v>34996</v>
      </c>
      <c r="J58" s="57">
        <v>39903</v>
      </c>
      <c r="K58" s="57"/>
      <c r="L58" s="57">
        <v>55015</v>
      </c>
      <c r="M58" s="57">
        <v>65459</v>
      </c>
      <c r="N58" s="57">
        <v>72463</v>
      </c>
      <c r="O58" s="57">
        <v>87392</v>
      </c>
      <c r="P58" s="57">
        <v>92454</v>
      </c>
      <c r="Q58" s="57">
        <v>114023</v>
      </c>
    </row>
    <row r="59" spans="1:17">
      <c r="A59" s="67" t="s">
        <v>135</v>
      </c>
      <c r="B59" s="57">
        <v>925</v>
      </c>
      <c r="C59" s="57">
        <v>10996</v>
      </c>
      <c r="D59" s="57">
        <v>5470</v>
      </c>
      <c r="E59" s="57">
        <v>9359</v>
      </c>
      <c r="F59" s="57">
        <v>5848</v>
      </c>
      <c r="G59" s="57">
        <v>2750</v>
      </c>
      <c r="H59" s="57">
        <v>7657</v>
      </c>
      <c r="I59" s="57">
        <v>10645</v>
      </c>
      <c r="J59" s="57">
        <v>10189</v>
      </c>
      <c r="K59" s="57">
        <v>14717</v>
      </c>
      <c r="L59" s="57">
        <v>23433</v>
      </c>
      <c r="M59" s="57">
        <v>30399</v>
      </c>
      <c r="N59" s="57">
        <v>13317</v>
      </c>
      <c r="O59" s="57">
        <v>14955</v>
      </c>
      <c r="P59" s="57">
        <v>4006</v>
      </c>
      <c r="Q59" s="57">
        <v>32305</v>
      </c>
    </row>
    <row r="60" spans="1:17">
      <c r="A60" s="67" t="s">
        <v>173</v>
      </c>
      <c r="B60" s="57">
        <v>274</v>
      </c>
      <c r="C60" s="57">
        <v>0</v>
      </c>
      <c r="D60" s="57">
        <v>0</v>
      </c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</row>
    <row r="61" spans="1:17">
      <c r="A61" s="69" t="s">
        <v>174</v>
      </c>
      <c r="B61" s="81">
        <f t="shared" ref="B61:Q61" si="11">B51+B60+B59+B57+B53+B52+B56+B54+B55+B58</f>
        <v>128834</v>
      </c>
      <c r="C61" s="81">
        <f t="shared" si="11"/>
        <v>266090</v>
      </c>
      <c r="D61" s="81">
        <f t="shared" si="11"/>
        <v>288545</v>
      </c>
      <c r="E61" s="81">
        <f t="shared" si="11"/>
        <v>316014</v>
      </c>
      <c r="F61" s="81">
        <f t="shared" si="11"/>
        <v>355716</v>
      </c>
      <c r="G61" s="81">
        <f t="shared" si="11"/>
        <v>410277</v>
      </c>
      <c r="H61" s="81">
        <f t="shared" si="11"/>
        <v>470589</v>
      </c>
      <c r="I61" s="81">
        <f t="shared" si="11"/>
        <v>560351</v>
      </c>
      <c r="J61" s="81">
        <f t="shared" si="11"/>
        <v>601145</v>
      </c>
      <c r="K61" s="81">
        <f t="shared" si="11"/>
        <v>569598</v>
      </c>
      <c r="L61" s="81">
        <f t="shared" si="11"/>
        <v>749988</v>
      </c>
      <c r="M61" s="81">
        <f t="shared" si="11"/>
        <v>965076</v>
      </c>
      <c r="N61" s="81">
        <f t="shared" si="11"/>
        <v>1001978</v>
      </c>
      <c r="O61" s="81">
        <f t="shared" si="11"/>
        <v>1161689</v>
      </c>
      <c r="P61" s="81">
        <f t="shared" si="11"/>
        <v>1097519</v>
      </c>
      <c r="Q61" s="81">
        <f t="shared" si="11"/>
        <v>1447780</v>
      </c>
    </row>
    <row r="62" spans="1:17">
      <c r="A62" s="70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</row>
    <row r="63" spans="1:17">
      <c r="A63" s="70" t="s">
        <v>175</v>
      </c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</row>
    <row r="64" spans="1:17">
      <c r="A64" s="67" t="s">
        <v>176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>
        <v>373951</v>
      </c>
      <c r="Q64" s="57">
        <v>0</v>
      </c>
    </row>
    <row r="65" spans="1:17">
      <c r="A65" s="67" t="s">
        <v>133</v>
      </c>
      <c r="B65" s="57">
        <v>124899</v>
      </c>
      <c r="C65" s="57">
        <v>117151</v>
      </c>
      <c r="D65" s="57">
        <v>110383</v>
      </c>
      <c r="E65" s="57">
        <v>112216</v>
      </c>
      <c r="F65" s="57">
        <v>68009</v>
      </c>
      <c r="G65" s="57">
        <v>351590</v>
      </c>
      <c r="H65" s="57">
        <v>353173</v>
      </c>
      <c r="I65" s="57">
        <v>334354</v>
      </c>
      <c r="J65" s="57">
        <v>312224</v>
      </c>
      <c r="K65" s="57">
        <v>287469</v>
      </c>
      <c r="L65" s="57">
        <v>264436</v>
      </c>
      <c r="M65" s="57">
        <v>243249</v>
      </c>
      <c r="N65" s="57">
        <v>223800</v>
      </c>
      <c r="O65" s="57">
        <v>204251</v>
      </c>
      <c r="P65" s="57">
        <v>179008</v>
      </c>
      <c r="Q65" s="57">
        <v>159991</v>
      </c>
    </row>
    <row r="66" spans="1:17">
      <c r="A66" s="67" t="s">
        <v>177</v>
      </c>
      <c r="B66" s="57">
        <v>0</v>
      </c>
      <c r="C66" s="57">
        <v>0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/>
      <c r="J66" s="57"/>
      <c r="K66" s="57"/>
      <c r="L66" s="57"/>
      <c r="M66" s="57"/>
      <c r="N66" s="57"/>
      <c r="O66" s="57"/>
      <c r="P66" s="57"/>
      <c r="Q66" s="57"/>
    </row>
    <row r="67" spans="1:17">
      <c r="A67" s="67" t="s">
        <v>178</v>
      </c>
      <c r="B67" s="57"/>
      <c r="C67" s="57"/>
      <c r="D67" s="57"/>
      <c r="E67" s="57"/>
      <c r="F67" s="57"/>
      <c r="G67" s="57"/>
      <c r="H67" s="57"/>
      <c r="I67" s="57">
        <v>1095</v>
      </c>
      <c r="J67" s="57">
        <v>2621</v>
      </c>
      <c r="K67" s="57"/>
      <c r="L67" s="57">
        <v>27432</v>
      </c>
      <c r="M67" s="57">
        <v>29508</v>
      </c>
      <c r="N67" s="57">
        <v>42286</v>
      </c>
      <c r="O67" s="57">
        <v>91838</v>
      </c>
      <c r="P67" s="57">
        <v>110893</v>
      </c>
      <c r="Q67" s="57">
        <v>127066</v>
      </c>
    </row>
    <row r="68" spans="1:17">
      <c r="A68" s="67" t="s">
        <v>179</v>
      </c>
      <c r="B68" s="82">
        <f t="shared" ref="B68:Q68" si="12">B65+B64+B66+B67</f>
        <v>124899</v>
      </c>
      <c r="C68" s="82">
        <f t="shared" si="12"/>
        <v>117151</v>
      </c>
      <c r="D68" s="82">
        <f t="shared" si="12"/>
        <v>110383</v>
      </c>
      <c r="E68" s="82">
        <f t="shared" si="12"/>
        <v>112216</v>
      </c>
      <c r="F68" s="82">
        <f t="shared" si="12"/>
        <v>68009</v>
      </c>
      <c r="G68" s="82">
        <f t="shared" si="12"/>
        <v>351590</v>
      </c>
      <c r="H68" s="82">
        <f t="shared" si="12"/>
        <v>353173</v>
      </c>
      <c r="I68" s="82">
        <f t="shared" si="12"/>
        <v>335449</v>
      </c>
      <c r="J68" s="82">
        <f t="shared" si="12"/>
        <v>314845</v>
      </c>
      <c r="K68" s="82">
        <f t="shared" si="12"/>
        <v>287469</v>
      </c>
      <c r="L68" s="82">
        <f t="shared" si="12"/>
        <v>291868</v>
      </c>
      <c r="M68" s="82">
        <f t="shared" si="12"/>
        <v>272757</v>
      </c>
      <c r="N68" s="82">
        <f t="shared" si="12"/>
        <v>266086</v>
      </c>
      <c r="O68" s="82">
        <f t="shared" si="12"/>
        <v>296089</v>
      </c>
      <c r="P68" s="82">
        <f t="shared" si="12"/>
        <v>663852</v>
      </c>
      <c r="Q68" s="82">
        <f t="shared" si="12"/>
        <v>287057</v>
      </c>
    </row>
    <row r="69" spans="1:17">
      <c r="A69" s="77" t="s">
        <v>180</v>
      </c>
      <c r="B69" s="80">
        <f t="shared" ref="B69:Q69" si="13">B68+B61</f>
        <v>253733</v>
      </c>
      <c r="C69" s="80">
        <f t="shared" si="13"/>
        <v>383241</v>
      </c>
      <c r="D69" s="80">
        <f t="shared" si="13"/>
        <v>398928</v>
      </c>
      <c r="E69" s="80">
        <f t="shared" si="13"/>
        <v>428230</v>
      </c>
      <c r="F69" s="80">
        <f t="shared" si="13"/>
        <v>423725</v>
      </c>
      <c r="G69" s="80">
        <f t="shared" si="13"/>
        <v>761867</v>
      </c>
      <c r="H69" s="80">
        <f t="shared" si="13"/>
        <v>823762</v>
      </c>
      <c r="I69" s="80">
        <f t="shared" si="13"/>
        <v>895800</v>
      </c>
      <c r="J69" s="80">
        <f t="shared" si="13"/>
        <v>915990</v>
      </c>
      <c r="K69" s="80">
        <f t="shared" si="13"/>
        <v>857067</v>
      </c>
      <c r="L69" s="80">
        <f t="shared" si="13"/>
        <v>1041856</v>
      </c>
      <c r="M69" s="80">
        <f t="shared" si="13"/>
        <v>1237833</v>
      </c>
      <c r="N69" s="80">
        <f t="shared" si="13"/>
        <v>1268064</v>
      </c>
      <c r="O69" s="80">
        <f t="shared" si="13"/>
        <v>1457778</v>
      </c>
      <c r="P69" s="80">
        <f t="shared" si="13"/>
        <v>1761371</v>
      </c>
      <c r="Q69" s="80">
        <f t="shared" si="13"/>
        <v>1734837</v>
      </c>
    </row>
    <row r="70" spans="1:17">
      <c r="A70" s="6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</row>
    <row r="71" spans="1:17">
      <c r="A71" s="70" t="s">
        <v>181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</row>
    <row r="72" spans="1:17">
      <c r="A72" s="67" t="s">
        <v>182</v>
      </c>
      <c r="B72" s="57">
        <v>494</v>
      </c>
      <c r="C72" s="57">
        <v>994</v>
      </c>
      <c r="D72" s="57">
        <v>1019</v>
      </c>
      <c r="E72" s="57">
        <v>1030</v>
      </c>
      <c r="F72" s="57">
        <v>1035</v>
      </c>
      <c r="G72" s="57">
        <v>3105</v>
      </c>
      <c r="H72" s="57">
        <v>3116</v>
      </c>
      <c r="I72" s="57">
        <v>3146</v>
      </c>
      <c r="J72" s="57">
        <v>3155</v>
      </c>
      <c r="K72" s="57">
        <v>3182</v>
      </c>
      <c r="L72" s="57">
        <v>3193</v>
      </c>
      <c r="M72" s="57">
        <v>3200</v>
      </c>
      <c r="N72" s="57">
        <v>6418</v>
      </c>
      <c r="O72" s="57">
        <v>5613</v>
      </c>
      <c r="P72" s="57">
        <v>5632</v>
      </c>
      <c r="Q72" s="57">
        <v>5665</v>
      </c>
    </row>
    <row r="73" spans="1:17">
      <c r="A73" s="67" t="s">
        <v>136</v>
      </c>
      <c r="B73" s="57">
        <v>187040</v>
      </c>
      <c r="C73" s="57">
        <v>229301</v>
      </c>
      <c r="D73" s="57">
        <v>287953</v>
      </c>
      <c r="E73" s="57">
        <v>368069</v>
      </c>
      <c r="F73" s="57">
        <v>426145</v>
      </c>
      <c r="G73" s="57">
        <v>3989787</v>
      </c>
      <c r="H73" s="57">
        <v>4051245</v>
      </c>
      <c r="I73" s="57">
        <v>4150628</v>
      </c>
      <c r="J73" s="57">
        <v>4238170</v>
      </c>
      <c r="K73" s="57">
        <v>4397511</v>
      </c>
      <c r="L73" s="57">
        <v>4537982</v>
      </c>
      <c r="M73" s="57">
        <v>4652620</v>
      </c>
      <c r="N73" s="57">
        <v>4776804</v>
      </c>
      <c r="O73" s="57">
        <v>4975115</v>
      </c>
      <c r="P73" s="57">
        <v>5144922</v>
      </c>
      <c r="Q73" s="57">
        <v>5430847</v>
      </c>
    </row>
    <row r="74" spans="1:17">
      <c r="A74" s="67" t="s">
        <v>183</v>
      </c>
      <c r="B74" s="61">
        <v>882425</v>
      </c>
      <c r="C74" s="61">
        <v>1168644</v>
      </c>
      <c r="D74" s="61">
        <v>1508664</v>
      </c>
      <c r="E74" s="61">
        <v>1847325</v>
      </c>
      <c r="F74" s="61">
        <v>2330510</v>
      </c>
      <c r="G74" s="61">
        <v>1394863</v>
      </c>
      <c r="H74" s="61">
        <v>2107548</v>
      </c>
      <c r="I74" s="61">
        <v>2928226</v>
      </c>
      <c r="J74" s="61">
        <v>3914645</v>
      </c>
      <c r="K74" s="61">
        <v>5022480</v>
      </c>
      <c r="L74" s="61">
        <v>6432074</v>
      </c>
      <c r="M74" s="61">
        <v>7809549</v>
      </c>
      <c r="N74" s="61">
        <v>9001173</v>
      </c>
      <c r="O74" s="61">
        <v>5939736</v>
      </c>
      <c r="P74" s="61">
        <v>7448784</v>
      </c>
      <c r="Q74" s="61">
        <v>9354216</v>
      </c>
    </row>
    <row r="75" spans="1:17">
      <c r="A75" s="67" t="s">
        <v>184</v>
      </c>
      <c r="B75" s="61">
        <v>281</v>
      </c>
      <c r="C75" s="83">
        <v>-1547</v>
      </c>
      <c r="D75" s="61">
        <v>2074</v>
      </c>
      <c r="E75" s="83">
        <v>-1233</v>
      </c>
      <c r="F75" s="83">
        <v>-11453</v>
      </c>
      <c r="G75" s="83">
        <v>-21878</v>
      </c>
      <c r="H75" s="83">
        <v>-23249</v>
      </c>
      <c r="I75" s="83">
        <v>-16659</v>
      </c>
      <c r="J75" s="83">
        <v>-32864</v>
      </c>
      <c r="K75" s="83">
        <v>-32387</v>
      </c>
      <c r="L75" s="61">
        <v>3034</v>
      </c>
      <c r="M75" s="83">
        <v>-69165</v>
      </c>
      <c r="N75" s="83">
        <v>-159073</v>
      </c>
      <c r="O75" s="83">
        <v>-125337</v>
      </c>
      <c r="P75" s="83">
        <v>-269487</v>
      </c>
      <c r="Q75" s="83">
        <v>-60841</v>
      </c>
    </row>
    <row r="76" spans="1:17">
      <c r="A76" s="67" t="s">
        <v>185</v>
      </c>
      <c r="B76" s="83">
        <v>-241842</v>
      </c>
      <c r="C76" s="83">
        <v>-418234</v>
      </c>
      <c r="D76" s="83">
        <v>-1155313</v>
      </c>
      <c r="E76" s="83">
        <v>-1222912</v>
      </c>
      <c r="F76" s="83">
        <v>-1231087</v>
      </c>
      <c r="G76" s="83">
        <v>-556467</v>
      </c>
      <c r="H76" s="83">
        <v>-2808951</v>
      </c>
      <c r="I76" s="83">
        <v>-3170129</v>
      </c>
      <c r="J76" s="83">
        <v>-4512205</v>
      </c>
      <c r="K76" s="83">
        <v>-5219505</v>
      </c>
      <c r="L76" s="83">
        <v>-5815423</v>
      </c>
      <c r="M76" s="83">
        <v>-5829253</v>
      </c>
      <c r="N76" s="83">
        <v>-6600281</v>
      </c>
      <c r="O76" s="83">
        <v>-2566383</v>
      </c>
      <c r="P76" s="83">
        <v>-6372133</v>
      </c>
      <c r="Q76" s="83">
        <v>-6475779</v>
      </c>
    </row>
    <row r="77" spans="1:17">
      <c r="A77" s="69" t="s">
        <v>186</v>
      </c>
      <c r="B77" s="81">
        <f t="shared" ref="B77:Q77" si="14">B76+B75+B74+B73+B72</f>
        <v>828398</v>
      </c>
      <c r="C77" s="81">
        <f t="shared" si="14"/>
        <v>979158</v>
      </c>
      <c r="D77" s="81">
        <f t="shared" si="14"/>
        <v>644397</v>
      </c>
      <c r="E77" s="81">
        <f t="shared" si="14"/>
        <v>992279</v>
      </c>
      <c r="F77" s="81">
        <f t="shared" si="14"/>
        <v>1515150</v>
      </c>
      <c r="G77" s="81">
        <f t="shared" si="14"/>
        <v>4809410</v>
      </c>
      <c r="H77" s="81">
        <f t="shared" si="14"/>
        <v>3329709</v>
      </c>
      <c r="I77" s="81">
        <f t="shared" si="14"/>
        <v>3895212</v>
      </c>
      <c r="J77" s="81">
        <f t="shared" si="14"/>
        <v>3610901</v>
      </c>
      <c r="K77" s="81">
        <f t="shared" si="14"/>
        <v>4171281</v>
      </c>
      <c r="L77" s="81">
        <f t="shared" si="14"/>
        <v>5160860</v>
      </c>
      <c r="M77" s="81">
        <f t="shared" si="14"/>
        <v>6566951</v>
      </c>
      <c r="N77" s="81">
        <f t="shared" si="14"/>
        <v>7025041</v>
      </c>
      <c r="O77" s="81">
        <f t="shared" si="14"/>
        <v>8228744</v>
      </c>
      <c r="P77" s="81">
        <f t="shared" si="14"/>
        <v>5957718</v>
      </c>
      <c r="Q77" s="81">
        <f t="shared" si="14"/>
        <v>8254108</v>
      </c>
    </row>
    <row r="78" spans="1:17">
      <c r="A78" s="69" t="s">
        <v>187</v>
      </c>
      <c r="B78" s="81">
        <f t="shared" ref="B78:Q78" si="15">B77+B69</f>
        <v>1082131</v>
      </c>
      <c r="C78" s="81">
        <f t="shared" si="15"/>
        <v>1362399</v>
      </c>
      <c r="D78" s="81">
        <f t="shared" si="15"/>
        <v>1043325</v>
      </c>
      <c r="E78" s="81">
        <f t="shared" si="15"/>
        <v>1420509</v>
      </c>
      <c r="F78" s="81">
        <f t="shared" si="15"/>
        <v>1938875</v>
      </c>
      <c r="G78" s="81">
        <f t="shared" si="15"/>
        <v>5571277</v>
      </c>
      <c r="H78" s="81">
        <f t="shared" si="15"/>
        <v>4153471</v>
      </c>
      <c r="I78" s="81">
        <f t="shared" si="15"/>
        <v>4791012</v>
      </c>
      <c r="J78" s="81">
        <f t="shared" si="15"/>
        <v>4526891</v>
      </c>
      <c r="K78" s="81">
        <f t="shared" si="15"/>
        <v>5028348</v>
      </c>
      <c r="L78" s="81">
        <f t="shared" si="15"/>
        <v>6202716</v>
      </c>
      <c r="M78" s="81">
        <f t="shared" si="15"/>
        <v>7804784</v>
      </c>
      <c r="N78" s="81">
        <f t="shared" si="15"/>
        <v>8293105</v>
      </c>
      <c r="O78" s="81">
        <f t="shared" si="15"/>
        <v>9686522</v>
      </c>
      <c r="P78" s="81">
        <f t="shared" si="15"/>
        <v>7719089</v>
      </c>
      <c r="Q78" s="81">
        <f t="shared" si="15"/>
        <v>9988945</v>
      </c>
    </row>
    <row r="79" spans="1:17">
      <c r="A79" s="70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</row>
    <row r="80" spans="1:17">
      <c r="A80" s="70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</row>
    <row r="81" spans="1:17">
      <c r="A81" s="47" t="s">
        <v>55</v>
      </c>
      <c r="B81" s="48">
        <v>2010</v>
      </c>
      <c r="C81" s="47">
        <f>B81+1</f>
        <v>2011</v>
      </c>
      <c r="D81" s="47">
        <f t="shared" ref="D81:N81" si="16">C81+1</f>
        <v>2012</v>
      </c>
      <c r="E81" s="47">
        <f t="shared" si="16"/>
        <v>2013</v>
      </c>
      <c r="F81" s="47">
        <f t="shared" si="16"/>
        <v>2014</v>
      </c>
      <c r="G81" s="47">
        <f t="shared" si="16"/>
        <v>2015</v>
      </c>
      <c r="H81" s="47">
        <f t="shared" si="16"/>
        <v>2016</v>
      </c>
      <c r="I81" s="47">
        <f t="shared" si="16"/>
        <v>2017</v>
      </c>
      <c r="J81" s="47">
        <f t="shared" si="16"/>
        <v>2018</v>
      </c>
      <c r="K81" s="47">
        <f t="shared" si="16"/>
        <v>2019</v>
      </c>
      <c r="L81" s="47">
        <f t="shared" si="16"/>
        <v>2020</v>
      </c>
      <c r="M81" s="47">
        <f t="shared" si="16"/>
        <v>2021</v>
      </c>
      <c r="N81" s="47">
        <f t="shared" si="16"/>
        <v>2022</v>
      </c>
      <c r="O81" s="48" t="s">
        <v>122</v>
      </c>
      <c r="P81" s="48" t="s">
        <v>123</v>
      </c>
      <c r="Q81" s="48" t="s">
        <v>108</v>
      </c>
    </row>
    <row r="82" spans="1:17">
      <c r="A82" s="67" t="s">
        <v>142</v>
      </c>
      <c r="B82" s="13"/>
      <c r="C82" s="73">
        <f t="shared" ref="C82:Q82" si="17">C7/B7-1</f>
        <v>0.30621607402783257</v>
      </c>
      <c r="D82" s="73">
        <f t="shared" si="17"/>
        <v>0.20987887719215848</v>
      </c>
      <c r="E82" s="73">
        <f t="shared" si="17"/>
        <v>9.0127539061931383E-2</v>
      </c>
      <c r="F82" s="73">
        <f t="shared" si="17"/>
        <v>9.7238371316596739E-2</v>
      </c>
      <c r="G82" s="73">
        <f t="shared" si="17"/>
        <v>0.10454803443755778</v>
      </c>
      <c r="H82" s="73">
        <f t="shared" si="17"/>
        <v>0.12004456093594129</v>
      </c>
      <c r="I82" s="73">
        <f t="shared" si="17"/>
        <v>0.10482479627912844</v>
      </c>
      <c r="J82" s="73">
        <f t="shared" si="17"/>
        <v>0.13004812936603694</v>
      </c>
      <c r="K82" s="73">
        <f t="shared" si="17"/>
        <v>0.103392981109655</v>
      </c>
      <c r="L82" s="73">
        <f t="shared" si="17"/>
        <v>9.4700342956932859E-2</v>
      </c>
      <c r="M82" s="73">
        <f t="shared" si="17"/>
        <v>0.204998523475864</v>
      </c>
      <c r="N82" s="73">
        <f t="shared" si="17"/>
        <v>0.13890075923709588</v>
      </c>
      <c r="O82" s="73">
        <f t="shared" si="17"/>
        <v>0.13135326134319958</v>
      </c>
      <c r="P82" s="73">
        <f t="shared" si="17"/>
        <v>4.9395051307228988E-2</v>
      </c>
      <c r="Q82" s="73">
        <f t="shared" si="17"/>
        <v>0.106988540459799</v>
      </c>
    </row>
    <row r="83" spans="1:17">
      <c r="A83" s="67" t="s">
        <v>109</v>
      </c>
      <c r="B83" s="10"/>
      <c r="C83" s="73">
        <f t="shared" ref="C83:Q83" si="18">C8/B8-1</f>
        <v>0.29696714135917479</v>
      </c>
      <c r="D83" s="73">
        <f t="shared" si="18"/>
        <v>0.2300904538267643</v>
      </c>
      <c r="E83" s="73">
        <f t="shared" si="18"/>
        <v>7.8841581193231258E-2</v>
      </c>
      <c r="F83" s="73">
        <f t="shared" si="18"/>
        <v>4.802994326020471E-2</v>
      </c>
      <c r="G83" s="73">
        <f t="shared" si="18"/>
        <v>-3.0926433060724956E-2</v>
      </c>
      <c r="H83" s="73">
        <f t="shared" si="18"/>
        <v>1.5711805316698912E-2</v>
      </c>
      <c r="I83" s="73">
        <f t="shared" si="18"/>
        <v>0.11194038611405355</v>
      </c>
      <c r="J83" s="73">
        <f t="shared" si="18"/>
        <v>0.22775966313532647</v>
      </c>
      <c r="K83" s="73">
        <f t="shared" si="18"/>
        <v>0.11272992337651333</v>
      </c>
      <c r="L83" s="73">
        <f t="shared" si="18"/>
        <v>0.11444543386948536</v>
      </c>
      <c r="M83" s="73">
        <f t="shared" si="18"/>
        <v>0.29768162077452121</v>
      </c>
      <c r="N83" s="73">
        <f t="shared" si="18"/>
        <v>0.28922752389286766</v>
      </c>
      <c r="O83" s="73">
        <f t="shared" si="18"/>
        <v>6.6742909175659504E-2</v>
      </c>
      <c r="P83" s="73">
        <f t="shared" si="18"/>
        <v>2.929325866506316E-2</v>
      </c>
      <c r="Q83" s="73">
        <f t="shared" si="18"/>
        <v>6.3393645042396196E-2</v>
      </c>
    </row>
    <row r="84" spans="1:17">
      <c r="A84" s="69" t="s">
        <v>143</v>
      </c>
      <c r="B84" s="71"/>
      <c r="C84" s="74">
        <f t="shared" ref="C84:Q84" si="19">C9/B9-1</f>
        <v>0.31469628366458902</v>
      </c>
      <c r="D84" s="74">
        <f t="shared" si="19"/>
        <v>0.19159708780745799</v>
      </c>
      <c r="E84" s="74">
        <f t="shared" si="19"/>
        <v>0.10066569324434904</v>
      </c>
      <c r="F84" s="74">
        <f t="shared" si="19"/>
        <v>0.1422752062994328</v>
      </c>
      <c r="G84" s="74">
        <f t="shared" si="19"/>
        <v>0.21830781976548908</v>
      </c>
      <c r="H84" s="74">
        <f t="shared" si="19"/>
        <v>0.1897315507372721</v>
      </c>
      <c r="I84" s="74">
        <f t="shared" si="19"/>
        <v>0.10076725025746658</v>
      </c>
      <c r="J84" s="74">
        <f t="shared" si="19"/>
        <v>7.3764203415836782E-2</v>
      </c>
      <c r="K84" s="74">
        <f t="shared" si="19"/>
        <v>9.7243369819746128E-2</v>
      </c>
      <c r="L84" s="74">
        <f t="shared" si="19"/>
        <v>8.1512039498369049E-2</v>
      </c>
      <c r="M84" s="74">
        <f t="shared" si="19"/>
        <v>0.1412077624564958</v>
      </c>
      <c r="N84" s="74">
        <f t="shared" si="19"/>
        <v>2.1249388373154598E-2</v>
      </c>
      <c r="O84" s="74">
        <f t="shared" si="19"/>
        <v>0.19518850917306207</v>
      </c>
      <c r="P84" s="74">
        <f t="shared" si="19"/>
        <v>6.7121289671673079E-2</v>
      </c>
      <c r="Q84" s="74">
        <f t="shared" si="19"/>
        <v>0.14406880128272581</v>
      </c>
    </row>
    <row r="85" spans="1:17">
      <c r="A85" s="68"/>
      <c r="O85" s="16"/>
      <c r="P85" s="16"/>
      <c r="Q85" s="16"/>
    </row>
    <row r="86" spans="1:17">
      <c r="A86" s="67" t="s">
        <v>144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5"/>
      <c r="P86" s="15"/>
      <c r="Q86" s="15"/>
    </row>
    <row r="87" spans="1:17">
      <c r="A87" s="67" t="s">
        <v>145</v>
      </c>
      <c r="B87" s="10"/>
      <c r="C87" s="73">
        <f t="shared" ref="C87:Q87" si="20">C12/B12-1</f>
        <v>0.2763713080168777</v>
      </c>
      <c r="D87" s="73">
        <f t="shared" si="20"/>
        <v>0.25785123966942147</v>
      </c>
      <c r="E87" s="73">
        <f t="shared" si="20"/>
        <v>0.10381077529566363</v>
      </c>
      <c r="F87" s="73">
        <f t="shared" si="20"/>
        <v>0.10357142857142865</v>
      </c>
      <c r="G87" s="73">
        <f t="shared" si="20"/>
        <v>-6.1488673139158623E-2</v>
      </c>
      <c r="H87" s="73">
        <f t="shared" si="20"/>
        <v>-3.9080459770114984E-2</v>
      </c>
      <c r="I87" s="73">
        <f t="shared" si="20"/>
        <v>9.9282296650717639E-2</v>
      </c>
      <c r="J87" s="73">
        <f t="shared" si="20"/>
        <v>0.39825897714907499</v>
      </c>
      <c r="K87" s="73">
        <f t="shared" si="20"/>
        <v>-4.6692607003890996E-2</v>
      </c>
      <c r="L87" s="73">
        <f t="shared" si="20"/>
        <v>9.4693877551020433E-2</v>
      </c>
      <c r="M87" s="73">
        <f t="shared" si="20"/>
        <v>0.59507829977628646</v>
      </c>
      <c r="N87" s="73">
        <f t="shared" si="20"/>
        <v>0.16503038803179049</v>
      </c>
      <c r="O87" s="73">
        <f t="shared" si="20"/>
        <v>-0.1027287319422151</v>
      </c>
      <c r="P87" s="73">
        <f t="shared" si="20"/>
        <v>2.6833631484795006E-3</v>
      </c>
      <c r="Q87" s="73">
        <f t="shared" si="20"/>
        <v>5.7091882247992887E-2</v>
      </c>
    </row>
    <row r="88" spans="1:17">
      <c r="A88" s="67" t="s">
        <v>146</v>
      </c>
      <c r="C88" s="73">
        <f t="shared" ref="C88:Q88" si="21">C13/B13-1</f>
        <v>0.41849380362249766</v>
      </c>
      <c r="D88" s="73">
        <f t="shared" si="21"/>
        <v>0.11155913978494625</v>
      </c>
      <c r="E88" s="73">
        <f t="shared" si="21"/>
        <v>9.9153567110036311E-2</v>
      </c>
      <c r="F88" s="73">
        <f t="shared" si="21"/>
        <v>-5.6655665566556657E-2</v>
      </c>
      <c r="G88" s="73">
        <f t="shared" si="21"/>
        <v>0.22274052478134121</v>
      </c>
      <c r="H88" s="73">
        <f t="shared" si="21"/>
        <v>0.29041487839771096</v>
      </c>
      <c r="I88" s="73">
        <f t="shared" si="21"/>
        <v>0.19733924611973386</v>
      </c>
      <c r="J88" s="73">
        <f t="shared" si="21"/>
        <v>9.2283950617283894E-2</v>
      </c>
      <c r="K88" s="73">
        <f t="shared" si="21"/>
        <v>0.10652726758971465</v>
      </c>
      <c r="L88" s="73">
        <f t="shared" si="21"/>
        <v>-0.11721144024514807</v>
      </c>
      <c r="M88" s="73">
        <f t="shared" si="21"/>
        <v>0.20798380098351177</v>
      </c>
      <c r="N88" s="73">
        <f t="shared" si="21"/>
        <v>0.10320881226053635</v>
      </c>
      <c r="O88" s="73">
        <f t="shared" si="21"/>
        <v>0.14803559800303878</v>
      </c>
      <c r="P88" s="73">
        <f t="shared" si="21"/>
        <v>0.10436755530345998</v>
      </c>
      <c r="Q88" s="73">
        <f t="shared" si="21"/>
        <v>2.7050162643383002E-2</v>
      </c>
    </row>
    <row r="89" spans="1:17">
      <c r="A89" s="67" t="s">
        <v>147</v>
      </c>
      <c r="C89" s="73">
        <f t="shared" ref="C89:Q89" si="22">C14/B14-1</f>
        <v>0.26903389849327697</v>
      </c>
      <c r="D89" s="73">
        <f t="shared" si="22"/>
        <v>0.19663058979990033</v>
      </c>
      <c r="E89" s="73">
        <f t="shared" si="22"/>
        <v>0.22184526181484499</v>
      </c>
      <c r="F89" s="73">
        <f t="shared" si="22"/>
        <v>-1.8281645048845774E-2</v>
      </c>
      <c r="G89" s="73">
        <f t="shared" si="22"/>
        <v>0.83910028801755532</v>
      </c>
      <c r="H89" s="73">
        <f t="shared" si="22"/>
        <v>-0.16730690831231421</v>
      </c>
      <c r="I89" s="73">
        <f t="shared" si="22"/>
        <v>4.0880703416377839E-2</v>
      </c>
      <c r="J89" s="73">
        <f t="shared" si="22"/>
        <v>1.2147157855691093E-2</v>
      </c>
      <c r="K89" s="73">
        <f t="shared" si="22"/>
        <v>0.13637325353826157</v>
      </c>
      <c r="L89" s="73">
        <f t="shared" si="22"/>
        <v>1.5594817353951296E-2</v>
      </c>
      <c r="M89" s="73">
        <f t="shared" si="22"/>
        <v>0.11231947515824303</v>
      </c>
      <c r="N89" s="73">
        <f t="shared" si="22"/>
        <v>0.29490277332218873</v>
      </c>
      <c r="O89" s="73">
        <f t="shared" si="22"/>
        <v>0.23683839690162811</v>
      </c>
      <c r="P89" s="73">
        <f t="shared" si="22"/>
        <v>0.20391675112165109</v>
      </c>
      <c r="Q89" s="73">
        <f t="shared" si="22"/>
        <v>5.0108984006520751E-2</v>
      </c>
    </row>
    <row r="90" spans="1:17">
      <c r="A90" s="67" t="s">
        <v>148</v>
      </c>
      <c r="C90" s="73">
        <f t="shared" ref="C90:Q90" si="23">C15/B15-1</f>
        <v>0.31724353690746221</v>
      </c>
      <c r="D90" s="73">
        <f t="shared" si="23"/>
        <v>0.17618055841017988</v>
      </c>
      <c r="E90" s="73">
        <f t="shared" si="23"/>
        <v>0.16500301922401084</v>
      </c>
      <c r="F90" s="73">
        <f t="shared" si="23"/>
        <v>-1.2849678758031002E-2</v>
      </c>
      <c r="G90" s="73">
        <f t="shared" si="23"/>
        <v>0.5196866479263218</v>
      </c>
      <c r="H90" s="73">
        <f t="shared" si="23"/>
        <v>-4.8278114647190673E-2</v>
      </c>
      <c r="I90" s="73">
        <f t="shared" si="23"/>
        <v>9.6001690281581231E-2</v>
      </c>
      <c r="J90" s="73">
        <f t="shared" si="23"/>
        <v>7.7593745040755113E-2</v>
      </c>
      <c r="K90" s="73">
        <f t="shared" si="23"/>
        <v>0.10268286029437923</v>
      </c>
      <c r="L90" s="73">
        <f t="shared" si="23"/>
        <v>-2.2335938102229558E-2</v>
      </c>
      <c r="M90" s="73">
        <f t="shared" si="23"/>
        <v>0.20199279929808278</v>
      </c>
      <c r="N90" s="73">
        <f t="shared" si="23"/>
        <v>0.21265462844171745</v>
      </c>
      <c r="O90" s="73">
        <f t="shared" si="23"/>
        <v>0.15788007140314209</v>
      </c>
      <c r="P90" s="73">
        <f t="shared" si="23"/>
        <v>0.15087206949394605</v>
      </c>
      <c r="Q90" s="73">
        <f t="shared" si="23"/>
        <v>4.4490565396510195E-2</v>
      </c>
    </row>
    <row r="91" spans="1:17">
      <c r="A91" s="69" t="s">
        <v>149</v>
      </c>
      <c r="B91" s="72"/>
      <c r="C91" s="74">
        <f t="shared" ref="C91:Q91" si="24">C16/B16-1</f>
        <v>0.31226172609498182</v>
      </c>
      <c r="D91" s="74">
        <f t="shared" si="24"/>
        <v>0.20638749580980797</v>
      </c>
      <c r="E91" s="74">
        <f t="shared" si="24"/>
        <v>4.0486866694634971E-2</v>
      </c>
      <c r="F91" s="74">
        <f t="shared" si="24"/>
        <v>0.30473751824002115</v>
      </c>
      <c r="G91" s="74">
        <f t="shared" si="24"/>
        <v>-2.0497521755707293E-2</v>
      </c>
      <c r="H91" s="74">
        <f t="shared" si="24"/>
        <v>0.48233160289162691</v>
      </c>
      <c r="I91" s="74">
        <f t="shared" si="24"/>
        <v>0.10452872745633157</v>
      </c>
      <c r="J91" s="74">
        <f t="shared" si="24"/>
        <v>7.0764864817519646E-2</v>
      </c>
      <c r="K91" s="74">
        <f t="shared" si="24"/>
        <v>9.2955931627687116E-2</v>
      </c>
      <c r="L91" s="74">
        <f t="shared" si="24"/>
        <v>0.16409409104743689</v>
      </c>
      <c r="M91" s="74">
        <f t="shared" si="24"/>
        <v>0.10061151649600486</v>
      </c>
      <c r="N91" s="74">
        <f t="shared" si="24"/>
        <v>-0.11835877932668581</v>
      </c>
      <c r="O91" s="74">
        <f t="shared" si="24"/>
        <v>0.232617602719974</v>
      </c>
      <c r="P91" s="74">
        <f t="shared" si="24"/>
        <v>-1.1805841744076173E-2</v>
      </c>
      <c r="Q91" s="74">
        <f t="shared" si="24"/>
        <v>0.25336036893861769</v>
      </c>
    </row>
    <row r="92" spans="1:17">
      <c r="A92" s="68"/>
    </row>
    <row r="93" spans="1:17">
      <c r="A93" s="67" t="s">
        <v>150</v>
      </c>
      <c r="C93" s="57">
        <v>0</v>
      </c>
      <c r="D93" s="57">
        <v>0</v>
      </c>
      <c r="E93" s="57">
        <v>0</v>
      </c>
      <c r="F93" s="57">
        <v>0</v>
      </c>
      <c r="G93" s="57">
        <v>0</v>
      </c>
      <c r="H93" s="57">
        <v>0</v>
      </c>
      <c r="I93" s="57">
        <v>0</v>
      </c>
      <c r="J93" s="57">
        <v>0</v>
      </c>
      <c r="K93" s="57">
        <v>0</v>
      </c>
      <c r="L93" s="57">
        <v>0</v>
      </c>
      <c r="M93" s="57">
        <v>0</v>
      </c>
      <c r="N93" s="57">
        <v>0</v>
      </c>
      <c r="O93" s="57">
        <v>0</v>
      </c>
      <c r="P93" s="57">
        <v>0</v>
      </c>
      <c r="Q93" s="57">
        <v>0</v>
      </c>
    </row>
    <row r="94" spans="1:17">
      <c r="A94" s="67" t="s">
        <v>151</v>
      </c>
      <c r="C94" s="57">
        <v>0</v>
      </c>
      <c r="D94" s="57">
        <v>0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0</v>
      </c>
      <c r="M94" s="57">
        <v>0</v>
      </c>
      <c r="N94" s="57">
        <v>0</v>
      </c>
      <c r="O94" s="57">
        <v>0</v>
      </c>
      <c r="P94" s="57">
        <v>0</v>
      </c>
      <c r="Q94" s="57">
        <v>0</v>
      </c>
    </row>
    <row r="95" spans="1:17">
      <c r="A95" s="67" t="s">
        <v>152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73">
        <f t="shared" ref="H95:Q95" si="25">H20/G20-1</f>
        <v>1.6855106888361044</v>
      </c>
      <c r="I95" s="73">
        <f t="shared" si="25"/>
        <v>-1.5016805236157791</v>
      </c>
      <c r="J95" s="73">
        <f t="shared" si="25"/>
        <v>2.403737658674189</v>
      </c>
      <c r="K95" s="73">
        <f t="shared" si="25"/>
        <v>0.34911426499533826</v>
      </c>
      <c r="L95" s="73">
        <f t="shared" si="25"/>
        <v>-1.5372034093526836</v>
      </c>
      <c r="M95" s="73">
        <f t="shared" si="25"/>
        <v>-1.5648942252715838</v>
      </c>
      <c r="N95" s="73">
        <f t="shared" si="25"/>
        <v>-4.2279858299595148</v>
      </c>
      <c r="O95" s="73">
        <f t="shared" si="25"/>
        <v>-10.024613937446109</v>
      </c>
      <c r="P95" s="73">
        <f t="shared" si="25"/>
        <v>-0.48608927532203572</v>
      </c>
      <c r="Q95" s="73">
        <f t="shared" si="25"/>
        <v>6.7776557086115075E-2</v>
      </c>
    </row>
    <row r="96" spans="1:17">
      <c r="A96" s="69" t="s">
        <v>153</v>
      </c>
      <c r="B96" s="72"/>
      <c r="C96" s="74">
        <f>C21/B21-1</f>
        <v>0.31226172609498182</v>
      </c>
      <c r="D96" s="74">
        <f>D21/C21-1</f>
        <v>0.20638749580980797</v>
      </c>
      <c r="E96" s="74">
        <f>E21/D21-1</f>
        <v>4.0486866694634971E-2</v>
      </c>
      <c r="F96" s="74">
        <f>F21/E21-1</f>
        <v>0.30473751824002115</v>
      </c>
      <c r="G96" s="74">
        <f>G21/F21-1</f>
        <v>-1.7681487080353997E-2</v>
      </c>
      <c r="H96" s="74">
        <f t="shared" ref="H96:Q96" si="26">H21/G21-1</f>
        <v>0.48578078356176313</v>
      </c>
      <c r="I96" s="74">
        <f t="shared" si="26"/>
        <v>9.620610985791811E-2</v>
      </c>
      <c r="J96" s="74">
        <f t="shared" si="26"/>
        <v>6.5232605683677614E-2</v>
      </c>
      <c r="K96" s="74">
        <f t="shared" si="26"/>
        <v>9.1014987841119721E-2</v>
      </c>
      <c r="L96" s="74">
        <f t="shared" si="26"/>
        <v>0.1800346207972281</v>
      </c>
      <c r="M96" s="74">
        <f t="shared" si="26"/>
        <v>9.350735817294642E-2</v>
      </c>
      <c r="N96" s="74">
        <f t="shared" si="26"/>
        <v>-0.10930323972757405</v>
      </c>
      <c r="O96" s="74">
        <f t="shared" si="26"/>
        <v>0.15070630080664649</v>
      </c>
      <c r="P96" s="74">
        <f t="shared" si="26"/>
        <v>1.7898215020117236E-2</v>
      </c>
      <c r="Q96" s="74">
        <f t="shared" si="26"/>
        <v>0.2592285192522803</v>
      </c>
    </row>
    <row r="97" spans="1:19">
      <c r="A97" s="68"/>
    </row>
    <row r="98" spans="1:19">
      <c r="A98" s="67" t="s">
        <v>154</v>
      </c>
      <c r="C98" s="73">
        <f t="shared" ref="C98:Q98" si="27">C23/B23-1</f>
        <v>0.24606441179255945</v>
      </c>
      <c r="D98" s="73">
        <f t="shared" si="27"/>
        <v>0.2226412005776055</v>
      </c>
      <c r="E98" s="73">
        <f t="shared" si="27"/>
        <v>7.6979352950739655E-2</v>
      </c>
      <c r="F98" s="73">
        <f t="shared" si="27"/>
        <v>0.16591707254265575</v>
      </c>
      <c r="G98" s="73">
        <f t="shared" si="27"/>
        <v>0.31306573039911956</v>
      </c>
      <c r="H98" s="73">
        <f t="shared" si="27"/>
        <v>6.433884836796544E-2</v>
      </c>
      <c r="I98" s="73">
        <f t="shared" si="27"/>
        <v>3.7997275204359582E-2</v>
      </c>
      <c r="J98" s="73">
        <f t="shared" si="27"/>
        <v>-0.21178122826129753</v>
      </c>
      <c r="K98" s="73">
        <f t="shared" si="27"/>
        <v>2.6173285198555885E-2</v>
      </c>
      <c r="L98" s="73">
        <f t="shared" si="27"/>
        <v>-0.2971631827136213</v>
      </c>
      <c r="M98" s="73">
        <f t="shared" si="27"/>
        <v>0.95760125229148096</v>
      </c>
      <c r="N98" s="73">
        <f t="shared" si="27"/>
        <v>-0.10285320702734324</v>
      </c>
      <c r="O98" s="73">
        <f t="shared" si="27"/>
        <v>0.15027081032760159</v>
      </c>
      <c r="P98" s="73">
        <f t="shared" si="27"/>
        <v>9.8097345335021791E-2</v>
      </c>
      <c r="Q98" s="73">
        <f t="shared" si="27"/>
        <v>0.20125684049699122</v>
      </c>
    </row>
    <row r="99" spans="1:19">
      <c r="A99" s="69" t="s">
        <v>155</v>
      </c>
      <c r="B99" s="72"/>
      <c r="C99" s="74">
        <f t="shared" ref="C99:Q99" si="28">C24/B24-1</f>
        <v>0.35542245928346494</v>
      </c>
      <c r="D99" s="74">
        <f t="shared" si="28"/>
        <v>0.19664508080680654</v>
      </c>
      <c r="E99" s="74">
        <f t="shared" si="28"/>
        <v>1.8138212358231209E-2</v>
      </c>
      <c r="F99" s="74">
        <f t="shared" si="28"/>
        <v>0.39466698112936216</v>
      </c>
      <c r="G99" s="74">
        <f t="shared" si="28"/>
        <v>-0.1968005906348087</v>
      </c>
      <c r="H99" s="74">
        <f t="shared" si="28"/>
        <v>0.85889907644432339</v>
      </c>
      <c r="I99" s="74">
        <f t="shared" si="28"/>
        <v>0.12571288869613029</v>
      </c>
      <c r="J99" s="74">
        <f t="shared" si="28"/>
        <v>0.19471267696188743</v>
      </c>
      <c r="K99" s="74">
        <f t="shared" si="28"/>
        <v>0.11101080622533877</v>
      </c>
      <c r="L99" s="74">
        <f t="shared" si="28"/>
        <v>0.31595532955132666</v>
      </c>
      <c r="M99" s="74">
        <f t="shared" si="28"/>
        <v>-3.7942913178410032E-2</v>
      </c>
      <c r="N99" s="74">
        <f t="shared" si="28"/>
        <v>-0.1112998157817302</v>
      </c>
      <c r="O99" s="74">
        <f t="shared" si="28"/>
        <v>0.15084238599074218</v>
      </c>
      <c r="P99" s="74">
        <f t="shared" si="28"/>
        <v>-7.1505367899972194E-3</v>
      </c>
      <c r="Q99" s="74">
        <f t="shared" si="28"/>
        <v>0.2792543132396359</v>
      </c>
    </row>
    <row r="102" spans="1:19">
      <c r="A102" s="47" t="s">
        <v>106</v>
      </c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</row>
    <row r="103" spans="1:19">
      <c r="A103" s="47" t="s">
        <v>137</v>
      </c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</row>
    <row r="104" spans="1:19">
      <c r="A104" s="47"/>
      <c r="B104" s="47">
        <v>2010</v>
      </c>
      <c r="C104" s="47">
        <f>B104+1</f>
        <v>2011</v>
      </c>
      <c r="D104" s="47">
        <f t="shared" ref="D104" si="29">C104+1</f>
        <v>2012</v>
      </c>
      <c r="E104" s="47">
        <f t="shared" ref="E104" si="30">D104+1</f>
        <v>2013</v>
      </c>
      <c r="F104" s="47">
        <f t="shared" ref="F104" si="31">E104+1</f>
        <v>2014</v>
      </c>
      <c r="G104" s="47">
        <f t="shared" ref="G104" si="32">F104+1</f>
        <v>2015</v>
      </c>
      <c r="H104" s="47">
        <f t="shared" ref="H104" si="33">G104+1</f>
        <v>2016</v>
      </c>
      <c r="I104" s="47">
        <f t="shared" ref="I104" si="34">H104+1</f>
        <v>2017</v>
      </c>
      <c r="J104" s="47">
        <f t="shared" ref="J104" si="35">I104+1</f>
        <v>2018</v>
      </c>
      <c r="K104" s="47">
        <f t="shared" ref="K104" si="36">J104+1</f>
        <v>2019</v>
      </c>
      <c r="L104" s="47">
        <f t="shared" ref="L104" si="37">K104+1</f>
        <v>2020</v>
      </c>
      <c r="M104" s="47">
        <f t="shared" ref="M104" si="38">L104+1</f>
        <v>2021</v>
      </c>
      <c r="N104" s="47">
        <f t="shared" ref="N104" si="39">M104+1</f>
        <v>2022</v>
      </c>
      <c r="O104" s="47">
        <v>2023</v>
      </c>
      <c r="P104" s="47">
        <f>O104+1</f>
        <v>2024</v>
      </c>
      <c r="Q104" s="47">
        <f t="shared" ref="Q104" si="40">P104+1</f>
        <v>2025</v>
      </c>
    </row>
    <row r="105" spans="1:19">
      <c r="A105" s="70" t="s">
        <v>189</v>
      </c>
      <c r="R105" s="73"/>
      <c r="S105" s="73"/>
    </row>
    <row r="106" spans="1:19">
      <c r="A106" s="67" t="s">
        <v>124</v>
      </c>
      <c r="C106" s="73">
        <f t="shared" ref="C106:Q106" si="41">C30/B30-1</f>
        <v>1.2650700875319165E-2</v>
      </c>
      <c r="D106" s="73">
        <f t="shared" si="41"/>
        <v>-0.38075479154317327</v>
      </c>
      <c r="E106" s="73">
        <f t="shared" si="41"/>
        <v>-5.0176618100434167E-2</v>
      </c>
      <c r="F106" s="73">
        <f t="shared" si="41"/>
        <v>0.75218714070092596</v>
      </c>
      <c r="G106" s="73">
        <f t="shared" si="41"/>
        <v>4.8743772328480812</v>
      </c>
      <c r="H106" s="73">
        <f t="shared" si="41"/>
        <v>-0.82643235756638844</v>
      </c>
      <c r="I106" s="73">
        <f t="shared" si="41"/>
        <v>0.40001906870560577</v>
      </c>
      <c r="J106" s="73">
        <f t="shared" si="41"/>
        <v>0.20599029173965522</v>
      </c>
      <c r="K106" s="73">
        <f t="shared" si="41"/>
        <v>0.25167173061568948</v>
      </c>
      <c r="L106" s="73">
        <f t="shared" si="41"/>
        <v>0.47929399704495346</v>
      </c>
      <c r="M106" s="73">
        <f t="shared" si="41"/>
        <v>0.12372703452096845</v>
      </c>
      <c r="N106" s="73">
        <f t="shared" si="41"/>
        <v>-1.4565814927227416E-2</v>
      </c>
      <c r="O106" s="73">
        <f t="shared" si="41"/>
        <v>0.75778665040726279</v>
      </c>
      <c r="P106" s="73">
        <f t="shared" si="41"/>
        <v>-0.33267890367436648</v>
      </c>
      <c r="Q106" s="73">
        <f t="shared" si="41"/>
        <v>0.3618565865359844</v>
      </c>
      <c r="R106" s="73"/>
      <c r="S106" s="73"/>
    </row>
    <row r="107" spans="1:19">
      <c r="A107" s="67" t="s">
        <v>125</v>
      </c>
      <c r="C107" s="73">
        <f t="shared" ref="C107:P107" si="42">C31/B31-1</f>
        <v>0.68111048890451209</v>
      </c>
      <c r="D107" s="73">
        <f t="shared" si="42"/>
        <v>-0.76404997057979684</v>
      </c>
      <c r="E107" s="73">
        <f t="shared" si="42"/>
        <v>3.1450815110982875</v>
      </c>
      <c r="F107" s="73">
        <f t="shared" si="42"/>
        <v>0.94192622940630999</v>
      </c>
      <c r="G107" s="73">
        <f t="shared" si="42"/>
        <v>-4.6757662577739501E-2</v>
      </c>
      <c r="H107" s="73">
        <f t="shared" si="42"/>
        <v>-0.70379930433381233</v>
      </c>
      <c r="I107" s="73">
        <f t="shared" si="42"/>
        <v>2.0511031312059633</v>
      </c>
      <c r="J107" s="73">
        <f t="shared" si="42"/>
        <v>-0.52350382578949173</v>
      </c>
      <c r="K107" s="73">
        <f t="shared" si="42"/>
        <v>0.66244503352565109</v>
      </c>
      <c r="L107" s="73">
        <f t="shared" si="42"/>
        <v>0.65337680536822096</v>
      </c>
      <c r="M107" s="73">
        <f t="shared" si="42"/>
        <v>0.98527152540295959</v>
      </c>
      <c r="N107" s="73">
        <f t="shared" si="42"/>
        <v>-0.22141339763288792</v>
      </c>
      <c r="O107" s="73">
        <f t="shared" si="42"/>
        <v>-0.29854277354559966</v>
      </c>
      <c r="P107" s="73">
        <f t="shared" si="42"/>
        <v>-1</v>
      </c>
      <c r="Q107" s="73"/>
      <c r="R107" s="73"/>
      <c r="S107" s="73"/>
    </row>
    <row r="108" spans="1:19">
      <c r="A108" s="67" t="s">
        <v>126</v>
      </c>
      <c r="C108" s="73">
        <f t="shared" ref="C108:P108" si="43">C32/B32-1</f>
        <v>1.1522211836473657</v>
      </c>
      <c r="D108" s="73">
        <f t="shared" si="43"/>
        <v>8.2147379777910867E-2</v>
      </c>
      <c r="E108" s="73">
        <f t="shared" si="43"/>
        <v>0.25123568923999828</v>
      </c>
      <c r="F108" s="73">
        <f t="shared" si="43"/>
        <v>-5.2079816327908701E-2</v>
      </c>
      <c r="G108" s="73">
        <f t="shared" si="43"/>
        <v>0.7023917650620648</v>
      </c>
      <c r="H108" s="73">
        <f t="shared" si="43"/>
        <v>0.19896433764684951</v>
      </c>
      <c r="I108" s="73">
        <f t="shared" si="43"/>
        <v>-0.21564398282177333</v>
      </c>
      <c r="J108" s="73">
        <f t="shared" si="43"/>
        <v>7.805978517206702E-2</v>
      </c>
      <c r="K108" s="73">
        <f t="shared" si="43"/>
        <v>0.11508950351038671</v>
      </c>
      <c r="L108" s="73">
        <f t="shared" si="43"/>
        <v>0.2326022985953029</v>
      </c>
      <c r="M108" s="73">
        <f t="shared" si="43"/>
        <v>0.34630907551215295</v>
      </c>
      <c r="N108" s="73">
        <f t="shared" si="43"/>
        <v>0.1333228499606316</v>
      </c>
      <c r="O108" s="73">
        <f t="shared" si="43"/>
        <v>0.17492666327495598</v>
      </c>
      <c r="P108" s="73">
        <f t="shared" si="43"/>
        <v>2.3184953650193796E-2</v>
      </c>
      <c r="Q108" s="73">
        <f>Q32/P32-1</f>
        <v>0.32450153317736885</v>
      </c>
      <c r="R108" s="73"/>
      <c r="S108" s="73"/>
    </row>
    <row r="109" spans="1:19">
      <c r="A109" s="67" t="s">
        <v>127</v>
      </c>
      <c r="C109" s="73">
        <f t="shared" ref="C109:P109" si="44">C33/B33-1</f>
        <v>1.5478886198863284E-2</v>
      </c>
      <c r="D109" s="73">
        <f t="shared" si="44"/>
        <v>0.30519943706502661</v>
      </c>
      <c r="E109" s="73">
        <f t="shared" si="44"/>
        <v>9.0312447687414421E-2</v>
      </c>
      <c r="F109" s="73">
        <f t="shared" si="44"/>
        <v>-0.2116785354641475</v>
      </c>
      <c r="G109" s="73">
        <f t="shared" si="44"/>
        <v>-0.1056979028830346</v>
      </c>
      <c r="H109" s="73">
        <f t="shared" si="44"/>
        <v>3.7470936004765587E-2</v>
      </c>
      <c r="I109" s="73">
        <f t="shared" si="44"/>
        <v>0.57895549203252439</v>
      </c>
      <c r="J109" s="73">
        <f t="shared" si="44"/>
        <v>8.5866781364249523E-2</v>
      </c>
      <c r="K109" s="73">
        <f t="shared" si="44"/>
        <v>0.29897193064582916</v>
      </c>
      <c r="L109" s="73">
        <f t="shared" si="44"/>
        <v>-7.6638825052462889E-2</v>
      </c>
      <c r="M109" s="73">
        <f t="shared" si="44"/>
        <v>0.78139814161550358</v>
      </c>
      <c r="N109" s="73">
        <f t="shared" si="44"/>
        <v>0.5768432832173549</v>
      </c>
      <c r="O109" s="73">
        <f t="shared" si="44"/>
        <v>3.8236227743629669E-2</v>
      </c>
      <c r="P109" s="73">
        <f t="shared" si="44"/>
        <v>-0.24119575131304527</v>
      </c>
      <c r="Q109" s="73">
        <f>Q33/P33-1</f>
        <v>8.4812652708494252E-2</v>
      </c>
      <c r="R109" s="73"/>
      <c r="S109" s="73"/>
    </row>
    <row r="110" spans="1:19">
      <c r="A110" s="67" t="s">
        <v>128</v>
      </c>
      <c r="C110" s="73">
        <f t="shared" ref="C110:P110" si="45">C34/B34-1</f>
        <v>0.22852778756902836</v>
      </c>
      <c r="D110" s="73">
        <f t="shared" si="45"/>
        <v>0.19467291507268558</v>
      </c>
      <c r="E110" s="73">
        <f t="shared" si="45"/>
        <v>-0.14437817716046908</v>
      </c>
      <c r="F110" s="73">
        <f t="shared" si="45"/>
        <v>-7.9668787425149712E-2</v>
      </c>
      <c r="G110" s="73">
        <f t="shared" si="45"/>
        <v>0.37076195801352108</v>
      </c>
      <c r="H110" s="73">
        <f t="shared" si="45"/>
        <v>0.2074758037601514</v>
      </c>
      <c r="I110" s="73">
        <f t="shared" si="45"/>
        <v>0.25535900743197582</v>
      </c>
      <c r="J110" s="73">
        <f t="shared" si="45"/>
        <v>9.8637375541257954E-2</v>
      </c>
      <c r="K110" s="73">
        <f t="shared" si="45"/>
        <v>0.22175955821772919</v>
      </c>
      <c r="L110" s="73">
        <f t="shared" si="45"/>
        <v>8.9305241670918356E-3</v>
      </c>
      <c r="M110" s="73">
        <f t="shared" si="45"/>
        <v>0.49333429675927598</v>
      </c>
      <c r="N110" s="73">
        <f t="shared" si="45"/>
        <v>0.32848260511927219</v>
      </c>
      <c r="O110" s="73">
        <f t="shared" si="45"/>
        <v>5.8020633200695615E-2</v>
      </c>
      <c r="P110" s="73">
        <f t="shared" si="45"/>
        <v>-7.6879383794483447E-2</v>
      </c>
      <c r="Q110" s="73">
        <f>Q34/P34-1</f>
        <v>-3.459752754936507E-2</v>
      </c>
      <c r="R110" s="73"/>
      <c r="S110" s="73"/>
    </row>
    <row r="111" spans="1:19">
      <c r="A111" s="67" t="s">
        <v>157</v>
      </c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</row>
    <row r="112" spans="1:19">
      <c r="A112" s="67" t="s">
        <v>158</v>
      </c>
      <c r="C112" s="73">
        <f t="shared" ref="C112:K112" si="46">C36/B36-1</f>
        <v>-0.96297037630104088</v>
      </c>
      <c r="D112" s="73">
        <f t="shared" si="46"/>
        <v>90.105405405405406</v>
      </c>
      <c r="E112" s="73">
        <f t="shared" si="46"/>
        <v>-0.71764217271351871</v>
      </c>
      <c r="F112" s="73">
        <f t="shared" si="46"/>
        <v>-9.4662744274007116E-2</v>
      </c>
      <c r="G112" s="73">
        <f t="shared" si="46"/>
        <v>1.1425089938493675</v>
      </c>
      <c r="H112" s="73">
        <f t="shared" si="46"/>
        <v>2.6047015491279386</v>
      </c>
      <c r="I112" s="73">
        <f t="shared" si="46"/>
        <v>1.0845078888054096</v>
      </c>
      <c r="J112" s="73">
        <f t="shared" si="46"/>
        <v>-0.72008448429976069</v>
      </c>
      <c r="K112" s="73">
        <f t="shared" si="46"/>
        <v>-1</v>
      </c>
      <c r="L112" s="73"/>
      <c r="M112" s="73">
        <f>M36/L36-1</f>
        <v>0.34387255892936563</v>
      </c>
      <c r="N112" s="73">
        <f>N36/M36-1</f>
        <v>1.6457067212227061E-2</v>
      </c>
      <c r="O112" s="73">
        <f>O36/N36-1</f>
        <v>0.60281189877164421</v>
      </c>
      <c r="P112" s="73">
        <f>P36/O36-1</f>
        <v>-0.22066074495392518</v>
      </c>
      <c r="Q112" s="73">
        <f>Q36/P36-1</f>
        <v>0.76856547083076632</v>
      </c>
      <c r="R112" s="73"/>
      <c r="S112" s="73"/>
    </row>
    <row r="113" spans="1:19">
      <c r="A113" s="67" t="s">
        <v>159</v>
      </c>
      <c r="C113" s="73">
        <f t="shared" ref="C113:G114" si="47">C37/B37-1</f>
        <v>-2.0510374433579726E-2</v>
      </c>
      <c r="D113" s="73">
        <f t="shared" si="47"/>
        <v>3.506208911614328E-2</v>
      </c>
      <c r="E113" s="73">
        <f t="shared" si="47"/>
        <v>0.23053399200188185</v>
      </c>
      <c r="F113" s="73">
        <f t="shared" si="47"/>
        <v>0.92482316956604849</v>
      </c>
      <c r="G113" s="73">
        <f t="shared" si="47"/>
        <v>-1</v>
      </c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</row>
    <row r="114" spans="1:19">
      <c r="A114" s="69" t="s">
        <v>129</v>
      </c>
      <c r="B114" s="72"/>
      <c r="C114" s="74">
        <f t="shared" si="47"/>
        <v>0.31678789693960829</v>
      </c>
      <c r="D114" s="74">
        <f t="shared" si="47"/>
        <v>-0.29391710500838353</v>
      </c>
      <c r="E114" s="74">
        <f t="shared" si="47"/>
        <v>0.41670259188473269</v>
      </c>
      <c r="F114" s="74">
        <f t="shared" si="47"/>
        <v>0.43141796198447557</v>
      </c>
      <c r="G114" s="74">
        <f t="shared" si="47"/>
        <v>1.1255877866742567</v>
      </c>
      <c r="H114" s="74">
        <f t="shared" ref="H114:Q114" si="48">H38/G38-1</f>
        <v>-0.6020954946365249</v>
      </c>
      <c r="I114" s="74">
        <f t="shared" si="48"/>
        <v>0.45669252305780339</v>
      </c>
      <c r="J114" s="74">
        <f t="shared" si="48"/>
        <v>-0.13526174799664681</v>
      </c>
      <c r="K114" s="74">
        <f t="shared" si="48"/>
        <v>0.26759063724593579</v>
      </c>
      <c r="L114" s="74">
        <f t="shared" si="48"/>
        <v>0.37342590499394612</v>
      </c>
      <c r="M114" s="74">
        <f t="shared" si="48"/>
        <v>0.49066446351507742</v>
      </c>
      <c r="N114" s="74">
        <f t="shared" si="48"/>
        <v>1.7681558100941741E-2</v>
      </c>
      <c r="O114" s="74">
        <f t="shared" si="48"/>
        <v>0.17295211208133154</v>
      </c>
      <c r="P114" s="74">
        <f t="shared" si="48"/>
        <v>-0.34845113505180536</v>
      </c>
      <c r="Q114" s="74">
        <f t="shared" si="48"/>
        <v>0.47221697408543273</v>
      </c>
      <c r="R114" s="73"/>
      <c r="S114" s="73"/>
    </row>
    <row r="115" spans="1:19">
      <c r="A115" s="70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</row>
    <row r="116" spans="1:19">
      <c r="A116" s="70" t="s">
        <v>160</v>
      </c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</row>
    <row r="117" spans="1:19">
      <c r="A117" s="67" t="s">
        <v>161</v>
      </c>
      <c r="C117" s="73">
        <f t="shared" ref="C117:J120" si="49">C41/B41-1</f>
        <v>-0.47511824209644937</v>
      </c>
      <c r="D117" s="73">
        <f t="shared" si="49"/>
        <v>-7.7649392084159663E-2</v>
      </c>
      <c r="E117" s="73">
        <f t="shared" si="49"/>
        <v>-0.54228018510727805</v>
      </c>
      <c r="F117" s="73">
        <f t="shared" si="49"/>
        <v>3.3852124183006538</v>
      </c>
      <c r="G117" s="73">
        <f t="shared" si="49"/>
        <v>-0.64257102934326971</v>
      </c>
      <c r="H117" s="73">
        <f t="shared" si="49"/>
        <v>-0.84401876465989056</v>
      </c>
      <c r="I117" s="73">
        <f t="shared" si="49"/>
        <v>-1.1695906432748537E-2</v>
      </c>
      <c r="J117" s="73">
        <f t="shared" si="49"/>
        <v>-1</v>
      </c>
      <c r="K117" s="73"/>
      <c r="L117" s="73"/>
      <c r="M117" s="73">
        <f t="shared" ref="M117:P124" si="50">M41/L41-1</f>
        <v>1.2446772481994084</v>
      </c>
      <c r="N117" s="73">
        <f t="shared" si="50"/>
        <v>-0.38197929973143963</v>
      </c>
      <c r="O117" s="73">
        <f t="shared" si="50"/>
        <v>0.24393340168937061</v>
      </c>
      <c r="P117" s="73">
        <f t="shared" si="50"/>
        <v>-1</v>
      </c>
      <c r="Q117" s="73"/>
      <c r="R117" s="73"/>
      <c r="S117" s="73"/>
    </row>
    <row r="118" spans="1:19">
      <c r="A118" s="67" t="s">
        <v>162</v>
      </c>
      <c r="C118" s="73">
        <f t="shared" si="49"/>
        <v>0.30679285693612335</v>
      </c>
      <c r="D118" s="73">
        <f t="shared" si="49"/>
        <v>0.5312396181701402</v>
      </c>
      <c r="E118" s="73">
        <f t="shared" si="49"/>
        <v>0.27490345256519655</v>
      </c>
      <c r="F118" s="73">
        <f t="shared" si="49"/>
        <v>2.2837888431299191E-2</v>
      </c>
      <c r="G118" s="73">
        <f t="shared" si="49"/>
        <v>7.9839389502639913E-2</v>
      </c>
      <c r="H118" s="73">
        <f t="shared" si="49"/>
        <v>0.7805431723401195</v>
      </c>
      <c r="I118" s="73">
        <f t="shared" si="49"/>
        <v>0.32844129846604719</v>
      </c>
      <c r="J118" s="73">
        <f t="shared" si="49"/>
        <v>5.5476905973701029E-2</v>
      </c>
      <c r="K118" s="73">
        <f>K42/J42-1</f>
        <v>0.22871331531242411</v>
      </c>
      <c r="L118" s="73">
        <f>L42/K42-1</f>
        <v>5.362978837396204E-2</v>
      </c>
      <c r="M118" s="73">
        <f t="shared" si="50"/>
        <v>-2.8698006712092328E-3</v>
      </c>
      <c r="N118" s="73">
        <f t="shared" si="50"/>
        <v>0.64746472543688816</v>
      </c>
      <c r="O118" s="73">
        <f t="shared" si="50"/>
        <v>0.72335300843301464</v>
      </c>
      <c r="P118" s="73">
        <f t="shared" si="50"/>
        <v>0.17538022173426904</v>
      </c>
      <c r="Q118" s="73">
        <f t="shared" ref="Q118:Q124" si="51">Q42/P42-1</f>
        <v>3.2969635844068534E-2</v>
      </c>
      <c r="R118" s="73"/>
      <c r="S118" s="73"/>
    </row>
    <row r="119" spans="1:19">
      <c r="A119" s="67" t="s">
        <v>163</v>
      </c>
      <c r="C119" s="73">
        <f t="shared" si="49"/>
        <v>1.7272338606242332E-3</v>
      </c>
      <c r="D119" s="73">
        <f t="shared" si="49"/>
        <v>1.5825594099972751E-2</v>
      </c>
      <c r="E119" s="73">
        <f t="shared" si="49"/>
        <v>6.9038535872140816E-2</v>
      </c>
      <c r="F119" s="73">
        <f t="shared" si="49"/>
        <v>-0.14942384178836998</v>
      </c>
      <c r="G119" s="73">
        <f t="shared" si="49"/>
        <v>1.5961630872731307</v>
      </c>
      <c r="H119" s="73">
        <f t="shared" si="49"/>
        <v>0.13588860096249689</v>
      </c>
      <c r="I119" s="73">
        <f t="shared" si="49"/>
        <v>-0.4213128932788488</v>
      </c>
      <c r="J119" s="73">
        <f t="shared" si="49"/>
        <v>-7.197859920071914E-2</v>
      </c>
      <c r="K119" s="73">
        <f t="shared" ref="K119:K124" si="52">K43/J43-1</f>
        <v>-1</v>
      </c>
      <c r="L119" s="73"/>
      <c r="M119" s="73">
        <f t="shared" si="50"/>
        <v>-6.7986757707428125E-2</v>
      </c>
      <c r="N119" s="73">
        <f t="shared" si="50"/>
        <v>-0.21393209336607155</v>
      </c>
      <c r="O119" s="73">
        <f t="shared" si="50"/>
        <v>-1.150029089635618E-2</v>
      </c>
      <c r="P119" s="73">
        <f t="shared" si="50"/>
        <v>5.2896236064524649E-2</v>
      </c>
      <c r="Q119" s="73">
        <f t="shared" si="51"/>
        <v>2.3803321393682797E-2</v>
      </c>
      <c r="R119" s="73"/>
      <c r="S119" s="73"/>
    </row>
    <row r="120" spans="1:19">
      <c r="A120" s="67" t="s">
        <v>164</v>
      </c>
      <c r="C120" s="73">
        <f t="shared" si="49"/>
        <v>0.11727768030289032</v>
      </c>
      <c r="D120" s="73">
        <f t="shared" si="49"/>
        <v>0.12918423010166125</v>
      </c>
      <c r="E120" s="73">
        <f t="shared" si="49"/>
        <v>0.2035939101156492</v>
      </c>
      <c r="F120" s="73">
        <f t="shared" si="49"/>
        <v>-0.22844893118861553</v>
      </c>
      <c r="G120" s="73">
        <f t="shared" si="49"/>
        <v>7.4335540316859774</v>
      </c>
      <c r="H120" s="73">
        <f t="shared" si="49"/>
        <v>1.4127775207600251</v>
      </c>
      <c r="I120" s="73">
        <f t="shared" si="49"/>
        <v>1.4041747568114271E-3</v>
      </c>
      <c r="J120" s="73">
        <f t="shared" si="49"/>
        <v>1.1404284947562404E-2</v>
      </c>
      <c r="K120" s="73">
        <f t="shared" si="52"/>
        <v>5.9538493017350369E-3</v>
      </c>
      <c r="L120" s="73">
        <f>L44/K44-1</f>
        <v>6.5972502744497952E-3</v>
      </c>
      <c r="M120" s="73">
        <f t="shared" si="50"/>
        <v>1.2596242278428038E-2</v>
      </c>
      <c r="N120" s="73">
        <f t="shared" si="50"/>
        <v>0.13803238759178127</v>
      </c>
      <c r="O120" s="73">
        <f t="shared" si="50"/>
        <v>0.1693930728197901</v>
      </c>
      <c r="P120" s="73">
        <f t="shared" si="50"/>
        <v>-9.0299543352119205E-3</v>
      </c>
      <c r="Q120" s="73">
        <f t="shared" si="51"/>
        <v>-2.4736751300334037E-2</v>
      </c>
      <c r="R120" s="73"/>
      <c r="S120" s="73"/>
    </row>
    <row r="121" spans="1:19">
      <c r="A121" s="67" t="s">
        <v>165</v>
      </c>
      <c r="C121" s="73"/>
      <c r="D121" s="73"/>
      <c r="E121" s="73"/>
      <c r="F121" s="73"/>
      <c r="G121" s="73"/>
      <c r="H121" s="73">
        <f t="shared" ref="H121:J124" si="53">H45/G45-1</f>
        <v>4.0577784897418478E-2</v>
      </c>
      <c r="I121" s="73">
        <f t="shared" si="53"/>
        <v>0</v>
      </c>
      <c r="J121" s="73">
        <f t="shared" si="53"/>
        <v>0</v>
      </c>
      <c r="K121" s="73">
        <f t="shared" si="52"/>
        <v>0</v>
      </c>
      <c r="L121" s="73">
        <f>L45/K45-1</f>
        <v>0</v>
      </c>
      <c r="M121" s="73">
        <f t="shared" si="50"/>
        <v>0</v>
      </c>
      <c r="N121" s="73">
        <f t="shared" si="50"/>
        <v>6.4805657372133618E-2</v>
      </c>
      <c r="O121" s="73">
        <f t="shared" si="50"/>
        <v>0</v>
      </c>
      <c r="P121" s="73">
        <f t="shared" si="50"/>
        <v>-6.0861488595082558E-2</v>
      </c>
      <c r="Q121" s="73">
        <f t="shared" si="51"/>
        <v>0</v>
      </c>
      <c r="R121" s="73"/>
      <c r="S121" s="73"/>
    </row>
    <row r="122" spans="1:19">
      <c r="A122" s="67" t="s">
        <v>166</v>
      </c>
      <c r="C122" s="73">
        <f t="shared" ref="C122:G124" si="54">C46/B46-1</f>
        <v>0.27792283144763563</v>
      </c>
      <c r="D122" s="73">
        <f t="shared" si="54"/>
        <v>-0.18819523269012484</v>
      </c>
      <c r="E122" s="73">
        <f t="shared" si="54"/>
        <v>1.837248322147651</v>
      </c>
      <c r="F122" s="73">
        <f t="shared" si="54"/>
        <v>-0.26118667455154743</v>
      </c>
      <c r="G122" s="73">
        <f t="shared" si="54"/>
        <v>0.45064034151547494</v>
      </c>
      <c r="H122" s="73">
        <f t="shared" si="53"/>
        <v>0.98914842744160381</v>
      </c>
      <c r="I122" s="73">
        <f t="shared" si="53"/>
        <v>-0.35589459084604713</v>
      </c>
      <c r="J122" s="73">
        <f t="shared" si="53"/>
        <v>0.18159632500717771</v>
      </c>
      <c r="K122" s="73">
        <f t="shared" si="52"/>
        <v>2.2786417203255982</v>
      </c>
      <c r="L122" s="73">
        <f>L46/K46-1</f>
        <v>0.30574546532525515</v>
      </c>
      <c r="M122" s="73">
        <f t="shared" si="50"/>
        <v>0.13873004611564377</v>
      </c>
      <c r="N122" s="73">
        <f t="shared" si="50"/>
        <v>0.67569655584907551</v>
      </c>
      <c r="O122" s="73">
        <f t="shared" si="50"/>
        <v>-0.18041612754502601</v>
      </c>
      <c r="P122" s="73">
        <f t="shared" si="50"/>
        <v>-8.900704072004062E-2</v>
      </c>
      <c r="Q122" s="73">
        <f t="shared" si="51"/>
        <v>0.58786327510308145</v>
      </c>
      <c r="R122" s="73"/>
      <c r="S122" s="73"/>
    </row>
    <row r="123" spans="1:19">
      <c r="A123" s="67" t="s">
        <v>167</v>
      </c>
      <c r="C123" s="73">
        <f t="shared" si="54"/>
        <v>-2.3133200708780444E-2</v>
      </c>
      <c r="D123" s="73">
        <f t="shared" si="54"/>
        <v>0.15877299384605115</v>
      </c>
      <c r="E123" s="73">
        <f t="shared" si="54"/>
        <v>0.1402545892815128</v>
      </c>
      <c r="F123" s="73">
        <f t="shared" si="54"/>
        <v>3.3604810793966378E-2</v>
      </c>
      <c r="G123" s="73">
        <f t="shared" si="54"/>
        <v>7.0333148635545086</v>
      </c>
      <c r="H123" s="73">
        <f t="shared" si="53"/>
        <v>0.38009783212332215</v>
      </c>
      <c r="I123" s="73">
        <f t="shared" si="53"/>
        <v>-6.0877531648709793E-3</v>
      </c>
      <c r="J123" s="73">
        <f t="shared" si="53"/>
        <v>6.6870391013944541E-3</v>
      </c>
      <c r="K123" s="73">
        <f t="shared" si="52"/>
        <v>5.0096943462072385E-3</v>
      </c>
      <c r="L123" s="73">
        <f>L47/K47-1</f>
        <v>0.11891705809284669</v>
      </c>
      <c r="M123" s="73">
        <f t="shared" si="50"/>
        <v>1.9894759911044613E-2</v>
      </c>
      <c r="N123" s="73">
        <f t="shared" si="50"/>
        <v>0.12986754300961301</v>
      </c>
      <c r="O123" s="73">
        <f t="shared" si="50"/>
        <v>0.16136180179853343</v>
      </c>
      <c r="P123" s="73">
        <f t="shared" si="50"/>
        <v>-4.8665951112939476E-3</v>
      </c>
      <c r="Q123" s="73">
        <f t="shared" si="51"/>
        <v>2.7289682495889034E-2</v>
      </c>
      <c r="R123" s="73"/>
      <c r="S123" s="73"/>
    </row>
    <row r="124" spans="1:19">
      <c r="A124" s="76" t="s">
        <v>168</v>
      </c>
      <c r="B124" s="72"/>
      <c r="C124" s="74">
        <f t="shared" si="54"/>
        <v>0.258996369201141</v>
      </c>
      <c r="D124" s="74">
        <f t="shared" si="54"/>
        <v>-0.23420011318270195</v>
      </c>
      <c r="E124" s="74">
        <f t="shared" si="54"/>
        <v>0.36152109841132907</v>
      </c>
      <c r="F124" s="74">
        <f t="shared" si="54"/>
        <v>0.36491567459269891</v>
      </c>
      <c r="G124" s="74">
        <f t="shared" si="54"/>
        <v>1.8734585777835084</v>
      </c>
      <c r="H124" s="74">
        <f t="shared" si="53"/>
        <v>-0.25448492329496453</v>
      </c>
      <c r="I124" s="74">
        <f t="shared" si="53"/>
        <v>0.15349595555139306</v>
      </c>
      <c r="J124" s="74">
        <f t="shared" si="53"/>
        <v>-5.5128436330361907E-2</v>
      </c>
      <c r="K124" s="74">
        <f t="shared" si="52"/>
        <v>0.10966002936673314</v>
      </c>
      <c r="L124" s="74">
        <f>L48/K48-1</f>
        <v>0.23478662475539047</v>
      </c>
      <c r="M124" s="74">
        <f t="shared" si="50"/>
        <v>0.25828491905803852</v>
      </c>
      <c r="N124" s="74">
        <f t="shared" si="50"/>
        <v>6.2566882055928863E-2</v>
      </c>
      <c r="O124" s="74">
        <f t="shared" si="50"/>
        <v>0.16802114527670886</v>
      </c>
      <c r="P124" s="74">
        <f t="shared" si="50"/>
        <v>-0.20311036303845698</v>
      </c>
      <c r="Q124" s="74">
        <f t="shared" si="51"/>
        <v>0.23718550207155276</v>
      </c>
      <c r="R124" s="73"/>
      <c r="S124" s="73"/>
    </row>
    <row r="125" spans="1:19">
      <c r="A125" s="70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</row>
    <row r="126" spans="1:19">
      <c r="A126" s="70" t="s">
        <v>169</v>
      </c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</row>
    <row r="127" spans="1:19">
      <c r="A127" s="67" t="s">
        <v>170</v>
      </c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</row>
    <row r="128" spans="1:19">
      <c r="A128" s="67" t="s">
        <v>130</v>
      </c>
      <c r="C128" s="73">
        <f t="shared" ref="C128:Q128" si="55">C52/B52-1</f>
        <v>0.32415902140672781</v>
      </c>
      <c r="D128" s="73">
        <f t="shared" si="55"/>
        <v>0.12238421804206401</v>
      </c>
      <c r="E128" s="73">
        <f t="shared" si="55"/>
        <v>-6.246760386397554E-2</v>
      </c>
      <c r="F128" s="73">
        <f t="shared" si="55"/>
        <v>6.9235022114997991E-2</v>
      </c>
      <c r="G128" s="73">
        <f t="shared" si="55"/>
        <v>0.13414185097264975</v>
      </c>
      <c r="H128" s="73">
        <f t="shared" si="55"/>
        <v>0.3350787148649863</v>
      </c>
      <c r="I128" s="73">
        <f t="shared" si="55"/>
        <v>0.27236508511408908</v>
      </c>
      <c r="J128" s="73">
        <f t="shared" si="55"/>
        <v>1.158960595339753E-2</v>
      </c>
      <c r="K128" s="73">
        <f t="shared" si="55"/>
        <v>0.10164415500884383</v>
      </c>
      <c r="L128" s="73">
        <f t="shared" si="55"/>
        <v>8.3033808316152369E-2</v>
      </c>
      <c r="M128" s="73">
        <f t="shared" si="55"/>
        <v>0.36207210242587595</v>
      </c>
      <c r="N128" s="73">
        <f t="shared" si="55"/>
        <v>9.8950435731194775E-2</v>
      </c>
      <c r="O128" s="73">
        <f t="shared" si="55"/>
        <v>0.27036566013527952</v>
      </c>
      <c r="P128" s="73">
        <f t="shared" si="55"/>
        <v>-0.17294052400957516</v>
      </c>
      <c r="Q128" s="73">
        <f t="shared" si="55"/>
        <v>0.21251995072572449</v>
      </c>
      <c r="R128" s="73"/>
      <c r="S128" s="73"/>
    </row>
    <row r="129" spans="1:19">
      <c r="A129" s="67" t="s">
        <v>131</v>
      </c>
      <c r="C129" s="73">
        <f t="shared" ref="C129:Q129" si="56">C53/B53-1</f>
        <v>0.34248876569652675</v>
      </c>
      <c r="D129" s="73">
        <f t="shared" si="56"/>
        <v>0.21741850716386169</v>
      </c>
      <c r="E129" s="73">
        <f t="shared" si="56"/>
        <v>0.51898961866584448</v>
      </c>
      <c r="F129" s="73">
        <f t="shared" si="56"/>
        <v>-0.31874545362272255</v>
      </c>
      <c r="G129" s="73">
        <f t="shared" si="56"/>
        <v>1.0308907154031437</v>
      </c>
      <c r="H129" s="73">
        <f t="shared" si="56"/>
        <v>-2.7633091238109198E-2</v>
      </c>
      <c r="I129" s="73">
        <f t="shared" si="56"/>
        <v>9.9954731785831141E-2</v>
      </c>
      <c r="J129" s="73">
        <f t="shared" si="56"/>
        <v>0.28616176050300091</v>
      </c>
      <c r="K129" s="73">
        <f t="shared" si="56"/>
        <v>1.393691059222979E-2</v>
      </c>
      <c r="L129" s="73">
        <f t="shared" si="56"/>
        <v>0.25051939513477972</v>
      </c>
      <c r="M129" s="73">
        <f t="shared" si="56"/>
        <v>0.4788612927873932</v>
      </c>
      <c r="N129" s="73">
        <f t="shared" si="56"/>
        <v>-0.17999753512447625</v>
      </c>
      <c r="O129" s="73">
        <f t="shared" si="56"/>
        <v>6.3569781086877386E-2</v>
      </c>
      <c r="P129" s="73">
        <f t="shared" si="56"/>
        <v>0.1998826010391983</v>
      </c>
      <c r="Q129" s="73">
        <f t="shared" si="56"/>
        <v>0.38648058560272514</v>
      </c>
      <c r="R129" s="73"/>
      <c r="S129" s="73"/>
    </row>
    <row r="130" spans="1:19">
      <c r="A130" s="67" t="s">
        <v>171</v>
      </c>
      <c r="C130" s="73">
        <f>C54/B54-1</f>
        <v>-1</v>
      </c>
      <c r="D130" s="73"/>
      <c r="E130" s="73"/>
      <c r="F130" s="73"/>
      <c r="G130" s="73"/>
      <c r="H130" s="73">
        <f t="shared" ref="H130:J131" si="57">H54/G54-1</f>
        <v>-0.25721546560174258</v>
      </c>
      <c r="I130" s="73">
        <f t="shared" si="57"/>
        <v>-0.98888074291300099</v>
      </c>
      <c r="J130" s="73">
        <f t="shared" si="57"/>
        <v>-1</v>
      </c>
      <c r="K130" s="73"/>
      <c r="L130" s="73"/>
      <c r="M130" s="73"/>
      <c r="N130" s="73"/>
      <c r="O130" s="73"/>
      <c r="P130" s="73"/>
      <c r="Q130" s="73"/>
      <c r="R130" s="73"/>
      <c r="S130" s="73"/>
    </row>
    <row r="131" spans="1:19">
      <c r="A131" s="67" t="s">
        <v>133</v>
      </c>
      <c r="C131" s="73">
        <f>C55/B55-1</f>
        <v>0.14230769230769225</v>
      </c>
      <c r="D131" s="73">
        <f>D55/C55-1</f>
        <v>9.6002762669429309E-2</v>
      </c>
      <c r="E131" s="73">
        <f>E55/D55-1</f>
        <v>8.9562820007877075E-2</v>
      </c>
      <c r="F131" s="73">
        <f>F55/E55-1</f>
        <v>2.6094563331405438</v>
      </c>
      <c r="G131" s="73">
        <f>G55/F55-1</f>
        <v>-0.35362336257661342</v>
      </c>
      <c r="H131" s="73">
        <f t="shared" si="57"/>
        <v>0.29131418301261203</v>
      </c>
      <c r="I131" s="73">
        <f t="shared" si="57"/>
        <v>3.7531196006911127E-2</v>
      </c>
      <c r="J131" s="73">
        <f t="shared" si="57"/>
        <v>1.8711259135905323E-2</v>
      </c>
      <c r="K131" s="73">
        <f>K55/J55-1</f>
        <v>-1</v>
      </c>
      <c r="L131" s="73"/>
      <c r="M131" s="73">
        <f>M55/L55-1</f>
        <v>-6.3813863391225856E-2</v>
      </c>
      <c r="N131" s="73">
        <f>N55/M55-1</f>
        <v>1.836350811192089E-2</v>
      </c>
      <c r="O131" s="73">
        <f>O55/N55-1</f>
        <v>-3.2255085313199872E-2</v>
      </c>
      <c r="P131" s="73">
        <f>P55/O55-1</f>
        <v>9.2928377153218555E-2</v>
      </c>
      <c r="Q131" s="73">
        <f>Q55/P55-1</f>
        <v>-1.0609268920954373E-2</v>
      </c>
      <c r="R131" s="73"/>
      <c r="S131" s="73"/>
    </row>
    <row r="132" spans="1:19">
      <c r="A132" s="67" t="s">
        <v>172</v>
      </c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</row>
    <row r="133" spans="1:19">
      <c r="A133" s="67" t="s">
        <v>132</v>
      </c>
      <c r="C133" s="73"/>
      <c r="D133" s="73">
        <f t="shared" ref="D133:Q133" si="58">D57/C57-1</f>
        <v>3.9454789961935521E-2</v>
      </c>
      <c r="E133" s="73">
        <f t="shared" si="58"/>
        <v>9.0584159284273325E-2</v>
      </c>
      <c r="F133" s="73">
        <f t="shared" si="58"/>
        <v>0.14654669749673266</v>
      </c>
      <c r="G133" s="73">
        <f t="shared" si="58"/>
        <v>1.3003410874464105E-2</v>
      </c>
      <c r="H133" s="73">
        <f t="shared" si="58"/>
        <v>-4.5814939842465208E-2</v>
      </c>
      <c r="I133" s="73">
        <f t="shared" si="58"/>
        <v>0.25183014777252644</v>
      </c>
      <c r="J133" s="73">
        <f t="shared" si="58"/>
        <v>5.610950883346133E-2</v>
      </c>
      <c r="K133" s="73">
        <f t="shared" si="58"/>
        <v>0.14422846007643697</v>
      </c>
      <c r="L133" s="73">
        <f t="shared" si="58"/>
        <v>0.11931446801110579</v>
      </c>
      <c r="M133" s="73">
        <f t="shared" si="58"/>
        <v>0.1328793836856712</v>
      </c>
      <c r="N133" s="73">
        <f t="shared" si="58"/>
        <v>0.2088801244673959</v>
      </c>
      <c r="O133" s="73">
        <f t="shared" si="58"/>
        <v>5.2536664176097592E-2</v>
      </c>
      <c r="P133" s="73">
        <f t="shared" si="58"/>
        <v>-5.0174495746317938E-3</v>
      </c>
      <c r="Q133" s="73">
        <f t="shared" si="58"/>
        <v>0.43464407514073011</v>
      </c>
      <c r="R133" s="73"/>
      <c r="S133" s="73"/>
    </row>
    <row r="134" spans="1:19">
      <c r="A134" s="67" t="s">
        <v>134</v>
      </c>
      <c r="C134" s="73">
        <f t="shared" ref="C134:K134" si="59">C58/B58-1</f>
        <v>0.36169932921215309</v>
      </c>
      <c r="D134" s="73">
        <f t="shared" si="59"/>
        <v>0.24852699700569891</v>
      </c>
      <c r="E134" s="73">
        <f t="shared" si="59"/>
        <v>0.14993037289184596</v>
      </c>
      <c r="F134" s="73">
        <f t="shared" si="59"/>
        <v>0.20983584499461783</v>
      </c>
      <c r="G134" s="73">
        <f t="shared" si="59"/>
        <v>0.23221931824500919</v>
      </c>
      <c r="H134" s="73">
        <f t="shared" si="59"/>
        <v>0.35579222889119544</v>
      </c>
      <c r="I134" s="73">
        <f t="shared" si="59"/>
        <v>0.16486369536996981</v>
      </c>
      <c r="J134" s="73">
        <f t="shared" si="59"/>
        <v>0.14021602468853578</v>
      </c>
      <c r="K134" s="73">
        <f t="shared" si="59"/>
        <v>-1</v>
      </c>
      <c r="L134" s="73"/>
      <c r="M134" s="73">
        <f t="shared" ref="M134:Q135" si="60">M58/L58-1</f>
        <v>0.18983913478142322</v>
      </c>
      <c r="N134" s="73">
        <f t="shared" si="60"/>
        <v>0.1069982737285935</v>
      </c>
      <c r="O134" s="73">
        <f t="shared" si="60"/>
        <v>0.20602238383726879</v>
      </c>
      <c r="P134" s="73">
        <f t="shared" si="60"/>
        <v>5.7922922006590882E-2</v>
      </c>
      <c r="Q134" s="73">
        <f t="shared" si="60"/>
        <v>0.23329439505051153</v>
      </c>
      <c r="R134" s="73"/>
      <c r="S134" s="73"/>
    </row>
    <row r="135" spans="1:19">
      <c r="A135" s="67" t="s">
        <v>135</v>
      </c>
      <c r="C135" s="73">
        <f t="shared" ref="C135:K135" si="61">C59/B59-1</f>
        <v>10.887567567567567</v>
      </c>
      <c r="D135" s="73">
        <f t="shared" si="61"/>
        <v>-0.50254638050200073</v>
      </c>
      <c r="E135" s="73">
        <f t="shared" si="61"/>
        <v>0.7109689213893966</v>
      </c>
      <c r="F135" s="73">
        <f t="shared" si="61"/>
        <v>-0.37514691740570572</v>
      </c>
      <c r="G135" s="73">
        <f t="shared" si="61"/>
        <v>-0.5297537619699042</v>
      </c>
      <c r="H135" s="73">
        <f t="shared" si="61"/>
        <v>1.7843636363636364</v>
      </c>
      <c r="I135" s="73">
        <f t="shared" si="61"/>
        <v>0.39023116102912359</v>
      </c>
      <c r="J135" s="73">
        <f t="shared" si="61"/>
        <v>-4.2837012682010345E-2</v>
      </c>
      <c r="K135" s="73">
        <f t="shared" si="61"/>
        <v>0.44440082441849049</v>
      </c>
      <c r="L135" s="73">
        <f>L59/K59-1</f>
        <v>0.59224026635863281</v>
      </c>
      <c r="M135" s="73">
        <f t="shared" si="60"/>
        <v>0.2972730764306748</v>
      </c>
      <c r="N135" s="73">
        <f t="shared" si="60"/>
        <v>-0.56192637915720911</v>
      </c>
      <c r="O135" s="73">
        <f t="shared" si="60"/>
        <v>0.12300067582788921</v>
      </c>
      <c r="P135" s="73">
        <f t="shared" si="60"/>
        <v>-0.73212972250083586</v>
      </c>
      <c r="Q135" s="73">
        <f t="shared" si="60"/>
        <v>7.0641537693459817</v>
      </c>
      <c r="R135" s="73"/>
      <c r="S135" s="73"/>
    </row>
    <row r="136" spans="1:19">
      <c r="A136" s="67" t="s">
        <v>173</v>
      </c>
      <c r="C136" s="73">
        <f>C60/B60-1</f>
        <v>-1</v>
      </c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</row>
    <row r="137" spans="1:19">
      <c r="A137" s="69" t="s">
        <v>174</v>
      </c>
      <c r="B137" s="72"/>
      <c r="C137" s="74">
        <f>C61/B61-1</f>
        <v>1.0653709424530793</v>
      </c>
      <c r="D137" s="74">
        <f t="shared" ref="D137:Q137" si="62">D61/C61-1</f>
        <v>8.4388740651659244E-2</v>
      </c>
      <c r="E137" s="74">
        <f t="shared" si="62"/>
        <v>9.5198322618655684E-2</v>
      </c>
      <c r="F137" s="74">
        <f t="shared" si="62"/>
        <v>0.12563367445746065</v>
      </c>
      <c r="G137" s="74">
        <f t="shared" si="62"/>
        <v>0.15338359815133429</v>
      </c>
      <c r="H137" s="74">
        <f t="shared" si="62"/>
        <v>0.14700312228080059</v>
      </c>
      <c r="I137" s="74">
        <f t="shared" si="62"/>
        <v>0.19074394004109751</v>
      </c>
      <c r="J137" s="74">
        <f t="shared" si="62"/>
        <v>7.2800798071208872E-2</v>
      </c>
      <c r="K137" s="74">
        <f t="shared" si="62"/>
        <v>-5.2478187458932513E-2</v>
      </c>
      <c r="L137" s="74">
        <f t="shared" si="62"/>
        <v>0.31669703896432222</v>
      </c>
      <c r="M137" s="74">
        <f t="shared" si="62"/>
        <v>0.28678858861741796</v>
      </c>
      <c r="N137" s="74">
        <f t="shared" si="62"/>
        <v>3.8237403064629083E-2</v>
      </c>
      <c r="O137" s="74">
        <f t="shared" si="62"/>
        <v>0.1593957152751857</v>
      </c>
      <c r="P137" s="74">
        <f t="shared" si="62"/>
        <v>-5.52385363036062E-2</v>
      </c>
      <c r="Q137" s="74">
        <f t="shared" si="62"/>
        <v>0.31913889417859731</v>
      </c>
      <c r="R137" s="73"/>
      <c r="S137" s="73"/>
    </row>
    <row r="138" spans="1:19">
      <c r="A138" s="70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</row>
    <row r="139" spans="1:19">
      <c r="A139" s="70" t="s">
        <v>175</v>
      </c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</row>
    <row r="140" spans="1:19">
      <c r="A140" s="67" t="s">
        <v>176</v>
      </c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</row>
    <row r="141" spans="1:19">
      <c r="A141" s="67" t="s">
        <v>133</v>
      </c>
      <c r="C141" s="73">
        <f t="shared" ref="C141:Q141" si="63">C65/B65-1</f>
        <v>-6.2034123571846012E-2</v>
      </c>
      <c r="D141" s="73">
        <f t="shared" si="63"/>
        <v>-5.7771593925788123E-2</v>
      </c>
      <c r="E141" s="73">
        <f t="shared" si="63"/>
        <v>1.6605817924861599E-2</v>
      </c>
      <c r="F141" s="73">
        <f t="shared" si="63"/>
        <v>-0.39394560490482644</v>
      </c>
      <c r="G141" s="73">
        <f t="shared" si="63"/>
        <v>4.1697569439338915</v>
      </c>
      <c r="H141" s="73">
        <f t="shared" si="63"/>
        <v>4.5024033675586939E-3</v>
      </c>
      <c r="I141" s="73">
        <f t="shared" si="63"/>
        <v>-5.3285500307214906E-2</v>
      </c>
      <c r="J141" s="73">
        <f t="shared" si="63"/>
        <v>-6.6187334382121987E-2</v>
      </c>
      <c r="K141" s="73">
        <f t="shared" si="63"/>
        <v>-7.9286025417648842E-2</v>
      </c>
      <c r="L141" s="73">
        <f t="shared" si="63"/>
        <v>-8.0123422003763878E-2</v>
      </c>
      <c r="M141" s="73">
        <f t="shared" si="63"/>
        <v>-8.0121466063622249E-2</v>
      </c>
      <c r="N141" s="73">
        <f t="shared" si="63"/>
        <v>-7.995510772911707E-2</v>
      </c>
      <c r="O141" s="73">
        <f t="shared" si="63"/>
        <v>-8.7350312779267192E-2</v>
      </c>
      <c r="P141" s="73">
        <f t="shared" si="63"/>
        <v>-0.12358813420742121</v>
      </c>
      <c r="Q141" s="73">
        <f t="shared" si="63"/>
        <v>-0.10623547550947443</v>
      </c>
      <c r="R141" s="73"/>
      <c r="S141" s="73"/>
    </row>
    <row r="142" spans="1:19">
      <c r="A142" s="67" t="s">
        <v>177</v>
      </c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</row>
    <row r="143" spans="1:19">
      <c r="A143" s="67" t="s">
        <v>178</v>
      </c>
      <c r="C143" s="73"/>
      <c r="D143" s="73"/>
      <c r="E143" s="73"/>
      <c r="F143" s="73"/>
      <c r="G143" s="73"/>
      <c r="H143" s="73"/>
      <c r="I143" s="73"/>
      <c r="J143" s="73">
        <f t="shared" ref="J143:K145" si="64">J67/I67-1</f>
        <v>1.3936073059360732</v>
      </c>
      <c r="K143" s="73">
        <f t="shared" si="64"/>
        <v>-1</v>
      </c>
      <c r="L143" s="73"/>
      <c r="M143" s="73">
        <f t="shared" ref="M143:Q145" si="65">M67/L67-1</f>
        <v>7.5678040244969269E-2</v>
      </c>
      <c r="N143" s="73">
        <f t="shared" si="65"/>
        <v>0.43303510912294962</v>
      </c>
      <c r="O143" s="73">
        <f t="shared" si="65"/>
        <v>1.1718299200681077</v>
      </c>
      <c r="P143" s="73">
        <f t="shared" si="65"/>
        <v>0.20748491909667033</v>
      </c>
      <c r="Q143" s="73">
        <f t="shared" si="65"/>
        <v>0.14584329037901411</v>
      </c>
      <c r="R143" s="73"/>
      <c r="S143" s="73"/>
    </row>
    <row r="144" spans="1:19">
      <c r="A144" s="67" t="s">
        <v>179</v>
      </c>
      <c r="C144" s="73">
        <f t="shared" ref="C144:I145" si="66">C68/B68-1</f>
        <v>-6.2034123571846012E-2</v>
      </c>
      <c r="D144" s="73">
        <f t="shared" si="66"/>
        <v>-5.7771593925788123E-2</v>
      </c>
      <c r="E144" s="73">
        <f t="shared" si="66"/>
        <v>1.6605817924861599E-2</v>
      </c>
      <c r="F144" s="73">
        <f t="shared" si="66"/>
        <v>-0.39394560490482644</v>
      </c>
      <c r="G144" s="73">
        <f t="shared" si="66"/>
        <v>4.1697569439338915</v>
      </c>
      <c r="H144" s="73">
        <f t="shared" si="66"/>
        <v>4.5024033675586939E-3</v>
      </c>
      <c r="I144" s="73">
        <f t="shared" si="66"/>
        <v>-5.0185036794998528E-2</v>
      </c>
      <c r="J144" s="73">
        <f t="shared" si="64"/>
        <v>-6.1422153591156881E-2</v>
      </c>
      <c r="K144" s="73">
        <f t="shared" si="64"/>
        <v>-8.6950721783734863E-2</v>
      </c>
      <c r="L144" s="73">
        <f>L68/K68-1</f>
        <v>1.530251957602391E-2</v>
      </c>
      <c r="M144" s="73">
        <f t="shared" si="65"/>
        <v>-6.5478229884742389E-2</v>
      </c>
      <c r="N144" s="73">
        <f t="shared" si="65"/>
        <v>-2.4457667447581599E-2</v>
      </c>
      <c r="O144" s="73">
        <f t="shared" si="65"/>
        <v>0.11275677788384209</v>
      </c>
      <c r="P144" s="73">
        <f t="shared" si="65"/>
        <v>1.2420691075994044</v>
      </c>
      <c r="Q144" s="73">
        <f t="shared" si="65"/>
        <v>-0.56758886016762777</v>
      </c>
      <c r="R144" s="73"/>
      <c r="S144" s="73"/>
    </row>
    <row r="145" spans="1:19">
      <c r="A145" s="77" t="s">
        <v>180</v>
      </c>
      <c r="B145" s="72"/>
      <c r="C145" s="74">
        <f t="shared" si="66"/>
        <v>0.51041054967229327</v>
      </c>
      <c r="D145" s="74">
        <f t="shared" si="66"/>
        <v>4.0932468081442241E-2</v>
      </c>
      <c r="E145" s="74">
        <f t="shared" si="66"/>
        <v>7.3451850960574383E-2</v>
      </c>
      <c r="F145" s="74">
        <f t="shared" si="66"/>
        <v>-1.0520047637951557E-2</v>
      </c>
      <c r="G145" s="74">
        <f t="shared" si="66"/>
        <v>0.79802230220071979</v>
      </c>
      <c r="H145" s="74">
        <f t="shared" si="66"/>
        <v>8.1241214017669705E-2</v>
      </c>
      <c r="I145" s="74">
        <f t="shared" si="66"/>
        <v>8.7450015902651446E-2</v>
      </c>
      <c r="J145" s="74">
        <f t="shared" si="64"/>
        <v>2.2538513060951004E-2</v>
      </c>
      <c r="K145" s="74">
        <f t="shared" si="64"/>
        <v>-6.4327121475125315E-2</v>
      </c>
      <c r="L145" s="74">
        <f>L69/K69-1</f>
        <v>0.21560624781959881</v>
      </c>
      <c r="M145" s="74">
        <f t="shared" si="65"/>
        <v>0.18810373026598692</v>
      </c>
      <c r="N145" s="74">
        <f t="shared" si="65"/>
        <v>2.4422519031242595E-2</v>
      </c>
      <c r="O145" s="74">
        <f t="shared" si="65"/>
        <v>0.14960916799152102</v>
      </c>
      <c r="P145" s="74">
        <f t="shared" si="65"/>
        <v>0.20825736154613383</v>
      </c>
      <c r="Q145" s="74">
        <f t="shared" si="65"/>
        <v>-1.5064401537211669E-2</v>
      </c>
      <c r="R145" s="73"/>
      <c r="S145" s="73"/>
    </row>
    <row r="146" spans="1:19">
      <c r="A146" s="67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</row>
    <row r="147" spans="1:19">
      <c r="A147" s="70" t="s">
        <v>181</v>
      </c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</row>
    <row r="148" spans="1:19">
      <c r="A148" s="67" t="s">
        <v>182</v>
      </c>
      <c r="C148" s="73">
        <f t="shared" ref="C148:Q148" si="67">C72/B72-1</f>
        <v>1.0121457489878543</v>
      </c>
      <c r="D148" s="73">
        <f t="shared" si="67"/>
        <v>2.5150905432595572E-2</v>
      </c>
      <c r="E148" s="73">
        <f t="shared" si="67"/>
        <v>1.0794896957801781E-2</v>
      </c>
      <c r="F148" s="73">
        <f t="shared" si="67"/>
        <v>4.8543689320388328E-3</v>
      </c>
      <c r="G148" s="73">
        <f t="shared" si="67"/>
        <v>2</v>
      </c>
      <c r="H148" s="73">
        <f t="shared" si="67"/>
        <v>3.5426731078904705E-3</v>
      </c>
      <c r="I148" s="73">
        <f t="shared" si="67"/>
        <v>9.6277278562260094E-3</v>
      </c>
      <c r="J148" s="73">
        <f t="shared" si="67"/>
        <v>2.8607755880483143E-3</v>
      </c>
      <c r="K148" s="73">
        <f t="shared" si="67"/>
        <v>8.5578446909666539E-3</v>
      </c>
      <c r="L148" s="73">
        <f t="shared" si="67"/>
        <v>3.4569453174104758E-3</v>
      </c>
      <c r="M148" s="73">
        <f t="shared" si="67"/>
        <v>2.1922956467272936E-3</v>
      </c>
      <c r="N148" s="73">
        <f t="shared" si="67"/>
        <v>1.0056250000000002</v>
      </c>
      <c r="O148" s="73">
        <f t="shared" si="67"/>
        <v>-0.12542848239326898</v>
      </c>
      <c r="P148" s="73">
        <f t="shared" si="67"/>
        <v>3.3849991092107512E-3</v>
      </c>
      <c r="Q148" s="73">
        <f t="shared" si="67"/>
        <v>5.859375E-3</v>
      </c>
      <c r="R148" s="73"/>
      <c r="S148" s="73"/>
    </row>
    <row r="149" spans="1:19">
      <c r="A149" s="67" t="s">
        <v>136</v>
      </c>
      <c r="C149" s="73">
        <f t="shared" ref="C149:Q149" si="68">C73/B73-1</f>
        <v>0.22594632164242934</v>
      </c>
      <c r="D149" s="73">
        <f t="shared" si="68"/>
        <v>0.25578606286060679</v>
      </c>
      <c r="E149" s="73">
        <f t="shared" si="68"/>
        <v>0.27822596048660708</v>
      </c>
      <c r="F149" s="73">
        <f t="shared" si="68"/>
        <v>0.15778563258519451</v>
      </c>
      <c r="G149" s="73">
        <f t="shared" si="68"/>
        <v>8.362510413122294</v>
      </c>
      <c r="H149" s="73">
        <f t="shared" si="68"/>
        <v>1.5403829828509741E-2</v>
      </c>
      <c r="I149" s="73">
        <f t="shared" si="68"/>
        <v>2.4531471189720655E-2</v>
      </c>
      <c r="J149" s="73">
        <f t="shared" si="68"/>
        <v>2.1091266189116498E-2</v>
      </c>
      <c r="K149" s="73">
        <f t="shared" si="68"/>
        <v>3.7596651384913748E-2</v>
      </c>
      <c r="L149" s="73">
        <f t="shared" si="68"/>
        <v>3.1943297015061489E-2</v>
      </c>
      <c r="M149" s="73">
        <f t="shared" si="68"/>
        <v>2.5261889535921567E-2</v>
      </c>
      <c r="N149" s="73">
        <f t="shared" si="68"/>
        <v>2.6691197647777054E-2</v>
      </c>
      <c r="O149" s="73">
        <f t="shared" si="68"/>
        <v>4.1515414909215398E-2</v>
      </c>
      <c r="P149" s="73">
        <f t="shared" si="68"/>
        <v>3.4131271337446423E-2</v>
      </c>
      <c r="Q149" s="73">
        <f t="shared" si="68"/>
        <v>5.5574214730563565E-2</v>
      </c>
      <c r="R149" s="73"/>
      <c r="S149" s="73"/>
    </row>
    <row r="150" spans="1:19">
      <c r="A150" s="67" t="s">
        <v>183</v>
      </c>
      <c r="C150" s="73">
        <f t="shared" ref="C150:Q150" si="69">C74/B74-1</f>
        <v>0.32435504433804563</v>
      </c>
      <c r="D150" s="73">
        <f t="shared" si="69"/>
        <v>0.29095259120827222</v>
      </c>
      <c r="E150" s="73">
        <f t="shared" si="69"/>
        <v>0.22447741843114177</v>
      </c>
      <c r="F150" s="73">
        <f t="shared" si="69"/>
        <v>0.26155928166402775</v>
      </c>
      <c r="G150" s="73">
        <f t="shared" si="69"/>
        <v>-0.40147735903300141</v>
      </c>
      <c r="H150" s="73">
        <f t="shared" si="69"/>
        <v>0.51093548255276677</v>
      </c>
      <c r="I150" s="73">
        <f t="shared" si="69"/>
        <v>0.38939943479341865</v>
      </c>
      <c r="J150" s="73">
        <f t="shared" si="69"/>
        <v>0.33686573372410455</v>
      </c>
      <c r="K150" s="73">
        <f t="shared" si="69"/>
        <v>0.28299756427466605</v>
      </c>
      <c r="L150" s="73">
        <f t="shared" si="69"/>
        <v>0.28065696627960679</v>
      </c>
      <c r="M150" s="73">
        <f t="shared" si="69"/>
        <v>0.21415720652467618</v>
      </c>
      <c r="N150" s="73">
        <f t="shared" si="69"/>
        <v>0.15258550781869729</v>
      </c>
      <c r="O150" s="73">
        <f t="shared" si="69"/>
        <v>-0.34011533830090812</v>
      </c>
      <c r="P150" s="73">
        <f t="shared" si="69"/>
        <v>0.25405977639410238</v>
      </c>
      <c r="Q150" s="73">
        <f t="shared" si="69"/>
        <v>0.2558044373417192</v>
      </c>
      <c r="R150" s="73"/>
      <c r="S150" s="73"/>
    </row>
    <row r="151" spans="1:19">
      <c r="A151" s="67" t="s">
        <v>184</v>
      </c>
      <c r="C151" s="73">
        <f t="shared" ref="C151:Q151" si="70">C75/B75-1</f>
        <v>-6.5053380782918149</v>
      </c>
      <c r="D151" s="73">
        <f t="shared" si="70"/>
        <v>-2.3406593406593403</v>
      </c>
      <c r="E151" s="73">
        <f t="shared" si="70"/>
        <v>-1.59450337512054</v>
      </c>
      <c r="F151" s="73">
        <f t="shared" si="70"/>
        <v>8.2887266828872672</v>
      </c>
      <c r="G151" s="73">
        <f t="shared" si="70"/>
        <v>0.91024185802846413</v>
      </c>
      <c r="H151" s="73">
        <f t="shared" si="70"/>
        <v>6.2665691562300063E-2</v>
      </c>
      <c r="I151" s="73">
        <f t="shared" si="70"/>
        <v>-0.28345305174416102</v>
      </c>
      <c r="J151" s="73">
        <f t="shared" si="70"/>
        <v>0.9727474638333633</v>
      </c>
      <c r="K151" s="73">
        <f t="shared" si="70"/>
        <v>-1.4514362220058419E-2</v>
      </c>
      <c r="L151" s="73">
        <f t="shared" si="70"/>
        <v>-1.0936795627875382</v>
      </c>
      <c r="M151" s="73">
        <f t="shared" si="70"/>
        <v>-23.796638101516152</v>
      </c>
      <c r="N151" s="73">
        <f t="shared" si="70"/>
        <v>1.2999060218318514</v>
      </c>
      <c r="O151" s="73">
        <f t="shared" si="70"/>
        <v>-0.2120787311485921</v>
      </c>
      <c r="P151" s="73">
        <f t="shared" si="70"/>
        <v>1.1500993322003876</v>
      </c>
      <c r="Q151" s="73">
        <f t="shared" si="70"/>
        <v>-0.77423400757735994</v>
      </c>
      <c r="R151" s="73"/>
      <c r="S151" s="73"/>
    </row>
    <row r="152" spans="1:19">
      <c r="A152" s="67" t="s">
        <v>185</v>
      </c>
      <c r="C152" s="73">
        <f t="shared" ref="C152:Q152" si="71">C76/B76-1</f>
        <v>0.72936876142274709</v>
      </c>
      <c r="D152" s="73">
        <f t="shared" si="71"/>
        <v>1.7623603054749255</v>
      </c>
      <c r="E152" s="73">
        <f t="shared" si="71"/>
        <v>5.8511416386728188E-2</v>
      </c>
      <c r="F152" s="73">
        <f t="shared" si="71"/>
        <v>6.6848636696672514E-3</v>
      </c>
      <c r="G152" s="73">
        <f t="shared" si="71"/>
        <v>-0.54798726653762087</v>
      </c>
      <c r="H152" s="73">
        <f t="shared" si="71"/>
        <v>4.0478303295613216</v>
      </c>
      <c r="I152" s="73">
        <f t="shared" si="71"/>
        <v>0.12858109664426332</v>
      </c>
      <c r="J152" s="73">
        <f t="shared" si="71"/>
        <v>0.42335059551204379</v>
      </c>
      <c r="K152" s="73">
        <f t="shared" si="71"/>
        <v>0.15675262981181048</v>
      </c>
      <c r="L152" s="73">
        <f t="shared" si="71"/>
        <v>0.11417136299323394</v>
      </c>
      <c r="M152" s="73">
        <f t="shared" si="71"/>
        <v>2.3781589060676289E-3</v>
      </c>
      <c r="N152" s="73">
        <f t="shared" si="71"/>
        <v>0.13226874867157079</v>
      </c>
      <c r="O152" s="73">
        <f t="shared" si="71"/>
        <v>-0.6111706456134216</v>
      </c>
      <c r="P152" s="73">
        <f t="shared" si="71"/>
        <v>1.4829236322092223</v>
      </c>
      <c r="Q152" s="73">
        <f t="shared" si="71"/>
        <v>1.6265511093381146E-2</v>
      </c>
      <c r="R152" s="73"/>
      <c r="S152" s="73"/>
    </row>
    <row r="153" spans="1:19">
      <c r="A153" s="69" t="s">
        <v>186</v>
      </c>
      <c r="B153" s="72"/>
      <c r="C153" s="74">
        <f t="shared" ref="C153:Q153" si="72">C77/B77-1</f>
        <v>0.18198981648917556</v>
      </c>
      <c r="D153" s="74">
        <f t="shared" si="72"/>
        <v>-0.34188660052820896</v>
      </c>
      <c r="E153" s="74">
        <f t="shared" si="72"/>
        <v>0.5398566411699619</v>
      </c>
      <c r="F153" s="74">
        <f t="shared" si="72"/>
        <v>0.52693949987856237</v>
      </c>
      <c r="G153" s="74">
        <f t="shared" si="72"/>
        <v>2.1742137742137744</v>
      </c>
      <c r="H153" s="74">
        <f t="shared" si="72"/>
        <v>-0.3076678844182551</v>
      </c>
      <c r="I153" s="74">
        <f t="shared" si="72"/>
        <v>0.16983556220678753</v>
      </c>
      <c r="J153" s="74">
        <f t="shared" si="72"/>
        <v>-7.2989865506678409E-2</v>
      </c>
      <c r="K153" s="74">
        <f t="shared" si="72"/>
        <v>0.15519118358548178</v>
      </c>
      <c r="L153" s="74">
        <f t="shared" si="72"/>
        <v>0.23723623510379666</v>
      </c>
      <c r="M153" s="74">
        <f t="shared" si="72"/>
        <v>0.27245284700611916</v>
      </c>
      <c r="N153" s="74">
        <f t="shared" si="72"/>
        <v>6.9756878039747727E-2</v>
      </c>
      <c r="O153" s="74">
        <f t="shared" si="72"/>
        <v>0.17134462275736184</v>
      </c>
      <c r="P153" s="74">
        <f t="shared" si="72"/>
        <v>-0.27598695499580495</v>
      </c>
      <c r="Q153" s="74">
        <f t="shared" si="72"/>
        <v>0.38544791814584034</v>
      </c>
      <c r="R153" s="73"/>
      <c r="S153" s="73"/>
    </row>
    <row r="154" spans="1:19">
      <c r="A154" s="69" t="s">
        <v>187</v>
      </c>
      <c r="B154" s="72"/>
      <c r="C154" s="74">
        <f t="shared" ref="C154:Q154" si="73">C78/B78-1</f>
        <v>0.258996369201141</v>
      </c>
      <c r="D154" s="74">
        <f t="shared" si="73"/>
        <v>-0.23420011318270195</v>
      </c>
      <c r="E154" s="74">
        <f t="shared" si="73"/>
        <v>0.36152109841132907</v>
      </c>
      <c r="F154" s="74">
        <f t="shared" si="73"/>
        <v>0.36491567459269891</v>
      </c>
      <c r="G154" s="74">
        <f t="shared" si="73"/>
        <v>1.8734585777835084</v>
      </c>
      <c r="H154" s="74">
        <f t="shared" si="73"/>
        <v>-0.25448492329496453</v>
      </c>
      <c r="I154" s="74">
        <f t="shared" si="73"/>
        <v>0.15349595555139306</v>
      </c>
      <c r="J154" s="74">
        <f t="shared" si="73"/>
        <v>-5.5128436330361907E-2</v>
      </c>
      <c r="K154" s="74">
        <f t="shared" si="73"/>
        <v>0.11077293444883041</v>
      </c>
      <c r="L154" s="74">
        <f t="shared" si="73"/>
        <v>0.23354946793658682</v>
      </c>
      <c r="M154" s="74">
        <f t="shared" si="73"/>
        <v>0.25828491905803852</v>
      </c>
      <c r="N154" s="74">
        <f t="shared" si="73"/>
        <v>6.2566882055928863E-2</v>
      </c>
      <c r="O154" s="74">
        <f t="shared" si="73"/>
        <v>0.16802114527670886</v>
      </c>
      <c r="P154" s="74">
        <f t="shared" si="73"/>
        <v>-0.20311036303845698</v>
      </c>
      <c r="Q154" s="74">
        <f t="shared" si="73"/>
        <v>0.29405749823586702</v>
      </c>
      <c r="R154" s="73"/>
      <c r="S154" s="73"/>
    </row>
    <row r="155" spans="1:19"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7D7F-293D-444D-82BD-065021BAD8C7}">
  <dimension ref="A1:Q175"/>
  <sheetViews>
    <sheetView topLeftCell="A73" zoomScale="70" zoomScaleNormal="70" workbookViewId="0">
      <selection activeCell="J73" sqref="J73"/>
    </sheetView>
  </sheetViews>
  <sheetFormatPr defaultRowHeight="15" customHeight="1"/>
  <cols>
    <col min="1" max="1" width="30.88671875" customWidth="1"/>
    <col min="2" max="3" width="11.33203125" bestFit="1" customWidth="1"/>
    <col min="4" max="6" width="12.6640625" bestFit="1" customWidth="1"/>
    <col min="7" max="7" width="11.33203125" bestFit="1" customWidth="1"/>
    <col min="8" max="17" width="12.6640625" bestFit="1" customWidth="1"/>
  </cols>
  <sheetData>
    <row r="1" spans="1:17" ht="15" customHeight="1">
      <c r="A1" s="31" t="s">
        <v>105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3" spans="1:17" ht="15" customHeight="1">
      <c r="A3" s="47" t="s">
        <v>106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17" ht="15" customHeight="1">
      <c r="A4" s="47" t="s">
        <v>107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 ht="15" customHeight="1">
      <c r="A5" s="47" t="s">
        <v>32</v>
      </c>
      <c r="B5" s="47">
        <v>2010</v>
      </c>
      <c r="C5" s="47">
        <f>B5+1</f>
        <v>2011</v>
      </c>
      <c r="D5" s="47">
        <f t="shared" ref="D5:N5" si="0">C5+1</f>
        <v>2012</v>
      </c>
      <c r="E5" s="47">
        <f t="shared" si="0"/>
        <v>2013</v>
      </c>
      <c r="F5" s="47">
        <f t="shared" si="0"/>
        <v>2014</v>
      </c>
      <c r="G5" s="47">
        <f t="shared" si="0"/>
        <v>2015</v>
      </c>
      <c r="H5" s="47">
        <f t="shared" si="0"/>
        <v>2016</v>
      </c>
      <c r="I5" s="47">
        <f t="shared" si="0"/>
        <v>2017</v>
      </c>
      <c r="J5" s="47">
        <f t="shared" si="0"/>
        <v>2018</v>
      </c>
      <c r="K5" s="47">
        <f t="shared" si="0"/>
        <v>2019</v>
      </c>
      <c r="L5" s="47">
        <f t="shared" si="0"/>
        <v>2020</v>
      </c>
      <c r="M5" s="47">
        <f t="shared" si="0"/>
        <v>2021</v>
      </c>
      <c r="N5" s="47">
        <f t="shared" si="0"/>
        <v>2022</v>
      </c>
      <c r="O5" s="48" t="s">
        <v>122</v>
      </c>
      <c r="P5" s="48" t="s">
        <v>123</v>
      </c>
      <c r="Q5" s="48" t="s">
        <v>108</v>
      </c>
    </row>
    <row r="6" spans="1:17" ht="15" customHeight="1">
      <c r="A6" s="67" t="s">
        <v>142</v>
      </c>
      <c r="B6" s="57">
        <v>1303942</v>
      </c>
      <c r="C6" s="57">
        <v>1703230</v>
      </c>
      <c r="D6" s="57">
        <v>2060702</v>
      </c>
      <c r="E6" s="57">
        <v>2246428</v>
      </c>
      <c r="F6" s="57">
        <v>2464867</v>
      </c>
      <c r="G6" s="57">
        <v>2722564</v>
      </c>
      <c r="H6" s="57">
        <v>3049393</v>
      </c>
      <c r="I6" s="57">
        <v>3369045</v>
      </c>
      <c r="J6" s="57">
        <v>3807183</v>
      </c>
      <c r="K6" s="57">
        <v>4200819</v>
      </c>
      <c r="L6" s="57">
        <v>4598638</v>
      </c>
      <c r="M6" s="57">
        <v>5541352</v>
      </c>
      <c r="N6" s="57">
        <v>6311050</v>
      </c>
      <c r="O6" s="57">
        <v>7140027</v>
      </c>
      <c r="P6" s="57">
        <v>7492709</v>
      </c>
      <c r="Q6" s="57">
        <v>8294343</v>
      </c>
    </row>
    <row r="7" spans="1:17" ht="15" customHeight="1">
      <c r="A7" s="67" t="s">
        <v>109</v>
      </c>
      <c r="B7" s="57">
        <v>623702</v>
      </c>
      <c r="C7" s="57">
        <v>808921</v>
      </c>
      <c r="D7" s="57">
        <v>995046</v>
      </c>
      <c r="E7" s="57">
        <v>1073497</v>
      </c>
      <c r="F7" s="57">
        <v>1125057</v>
      </c>
      <c r="G7" s="57">
        <v>1090263</v>
      </c>
      <c r="H7" s="57">
        <v>1107393</v>
      </c>
      <c r="I7" s="57">
        <v>1231355</v>
      </c>
      <c r="J7" s="57">
        <v>1511808</v>
      </c>
      <c r="K7" s="57">
        <v>1682234</v>
      </c>
      <c r="L7" s="57">
        <v>1874758</v>
      </c>
      <c r="M7" s="57">
        <v>2432839</v>
      </c>
      <c r="N7" s="57">
        <v>3136483</v>
      </c>
      <c r="O7" s="57">
        <v>3345821</v>
      </c>
      <c r="P7" s="57">
        <v>3443831</v>
      </c>
      <c r="Q7" s="57">
        <v>3662148</v>
      </c>
    </row>
    <row r="8" spans="1:17" ht="15" customHeight="1">
      <c r="A8" s="69" t="s">
        <v>143</v>
      </c>
      <c r="B8" s="58">
        <f t="shared" ref="B8:Q8" si="1">B6-B7</f>
        <v>680240</v>
      </c>
      <c r="C8" s="58">
        <f t="shared" si="1"/>
        <v>894309</v>
      </c>
      <c r="D8" s="58">
        <f t="shared" si="1"/>
        <v>1065656</v>
      </c>
      <c r="E8" s="58">
        <f t="shared" si="1"/>
        <v>1172931</v>
      </c>
      <c r="F8" s="58">
        <f t="shared" si="1"/>
        <v>1339810</v>
      </c>
      <c r="G8" s="58">
        <f t="shared" si="1"/>
        <v>1632301</v>
      </c>
      <c r="H8" s="58">
        <f t="shared" si="1"/>
        <v>1942000</v>
      </c>
      <c r="I8" s="58">
        <f t="shared" si="1"/>
        <v>2137690</v>
      </c>
      <c r="J8" s="58">
        <f t="shared" si="1"/>
        <v>2295375</v>
      </c>
      <c r="K8" s="58">
        <f t="shared" si="1"/>
        <v>2518585</v>
      </c>
      <c r="L8" s="58">
        <f t="shared" si="1"/>
        <v>2723880</v>
      </c>
      <c r="M8" s="58">
        <f t="shared" si="1"/>
        <v>3108513</v>
      </c>
      <c r="N8" s="58">
        <f t="shared" si="1"/>
        <v>3174567</v>
      </c>
      <c r="O8" s="58">
        <f t="shared" si="1"/>
        <v>3794206</v>
      </c>
      <c r="P8" s="58">
        <f t="shared" si="1"/>
        <v>4048878</v>
      </c>
      <c r="Q8" s="58">
        <f t="shared" si="1"/>
        <v>4632195</v>
      </c>
    </row>
    <row r="9" spans="1:17" ht="15" customHeight="1">
      <c r="A9" s="68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</row>
    <row r="10" spans="1:17" ht="15" customHeight="1">
      <c r="A10" s="67" t="s">
        <v>144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57">
        <v>0</v>
      </c>
      <c r="Q10" s="57">
        <v>0</v>
      </c>
    </row>
    <row r="11" spans="1:17" ht="15" customHeight="1">
      <c r="A11" s="67" t="s">
        <v>145</v>
      </c>
      <c r="B11" s="60">
        <v>47400</v>
      </c>
      <c r="C11" s="60">
        <v>60500</v>
      </c>
      <c r="D11" s="60">
        <v>76100</v>
      </c>
      <c r="E11" s="60">
        <v>84000</v>
      </c>
      <c r="F11" s="60">
        <v>92700</v>
      </c>
      <c r="G11" s="60">
        <v>87000</v>
      </c>
      <c r="H11" s="61">
        <v>83600</v>
      </c>
      <c r="I11" s="61">
        <v>91900</v>
      </c>
      <c r="J11" s="61">
        <v>128500</v>
      </c>
      <c r="K11" s="61">
        <v>122500</v>
      </c>
      <c r="L11" s="61">
        <v>134100</v>
      </c>
      <c r="M11" s="61">
        <v>213900</v>
      </c>
      <c r="N11" s="61">
        <v>249200</v>
      </c>
      <c r="O11" s="61">
        <v>223600</v>
      </c>
      <c r="P11" s="61">
        <v>224200</v>
      </c>
      <c r="Q11" s="61">
        <v>237000</v>
      </c>
    </row>
    <row r="12" spans="1:17" ht="15" customHeight="1">
      <c r="A12" s="67" t="s">
        <v>146</v>
      </c>
      <c r="B12" s="60">
        <v>104900</v>
      </c>
      <c r="C12" s="60">
        <v>148800</v>
      </c>
      <c r="D12" s="60">
        <v>165400</v>
      </c>
      <c r="E12" s="60">
        <v>181800</v>
      </c>
      <c r="F12" s="60">
        <v>171500</v>
      </c>
      <c r="G12" s="60">
        <v>209700</v>
      </c>
      <c r="H12" s="61">
        <v>270600</v>
      </c>
      <c r="I12" s="61">
        <v>324000</v>
      </c>
      <c r="J12" s="61">
        <v>353900</v>
      </c>
      <c r="K12" s="61">
        <v>391600</v>
      </c>
      <c r="L12" s="61">
        <v>345700</v>
      </c>
      <c r="M12" s="61">
        <v>417600</v>
      </c>
      <c r="N12" s="61">
        <v>460700</v>
      </c>
      <c r="O12" s="61">
        <v>528900</v>
      </c>
      <c r="P12" s="61">
        <v>584100</v>
      </c>
      <c r="Q12" s="61">
        <v>599900</v>
      </c>
    </row>
    <row r="13" spans="1:17" ht="15" customHeight="1">
      <c r="A13" s="67" t="s">
        <v>147</v>
      </c>
      <c r="B13" s="62">
        <v>180126</v>
      </c>
      <c r="C13" s="62">
        <v>228586</v>
      </c>
      <c r="D13" s="62">
        <v>273533</v>
      </c>
      <c r="E13" s="62">
        <v>334215</v>
      </c>
      <c r="F13" s="62">
        <v>328105</v>
      </c>
      <c r="G13" s="62">
        <v>603418</v>
      </c>
      <c r="H13" s="62">
        <v>502462</v>
      </c>
      <c r="I13" s="62">
        <v>523003</v>
      </c>
      <c r="J13" s="62">
        <v>529356</v>
      </c>
      <c r="K13" s="62">
        <v>601546</v>
      </c>
      <c r="L13" s="62">
        <v>610927</v>
      </c>
      <c r="M13" s="62">
        <v>679546</v>
      </c>
      <c r="N13" s="62">
        <v>879946</v>
      </c>
      <c r="O13" s="62">
        <v>1088351</v>
      </c>
      <c r="P13" s="62">
        <v>1310284</v>
      </c>
      <c r="Q13" s="62">
        <v>1375941</v>
      </c>
    </row>
    <row r="14" spans="1:17" ht="15" customHeight="1">
      <c r="A14" s="75" t="s">
        <v>148</v>
      </c>
      <c r="B14" s="63">
        <f t="shared" ref="B14:Q14" si="2">B13+B12+B11+B10</f>
        <v>332426</v>
      </c>
      <c r="C14" s="63">
        <f t="shared" si="2"/>
        <v>437886</v>
      </c>
      <c r="D14" s="63">
        <f t="shared" si="2"/>
        <v>515033</v>
      </c>
      <c r="E14" s="63">
        <f t="shared" si="2"/>
        <v>600015</v>
      </c>
      <c r="F14" s="63">
        <f t="shared" si="2"/>
        <v>592305</v>
      </c>
      <c r="G14" s="63">
        <f t="shared" si="2"/>
        <v>900118</v>
      </c>
      <c r="H14" s="63">
        <f t="shared" si="2"/>
        <v>856662</v>
      </c>
      <c r="I14" s="63">
        <f t="shared" si="2"/>
        <v>938903</v>
      </c>
      <c r="J14" s="63">
        <f t="shared" si="2"/>
        <v>1011756</v>
      </c>
      <c r="K14" s="63">
        <f t="shared" si="2"/>
        <v>1115646</v>
      </c>
      <c r="L14" s="63">
        <f t="shared" si="2"/>
        <v>1090727</v>
      </c>
      <c r="M14" s="63">
        <f t="shared" si="2"/>
        <v>1311046</v>
      </c>
      <c r="N14" s="63">
        <f t="shared" si="2"/>
        <v>1589846</v>
      </c>
      <c r="O14" s="63">
        <f t="shared" si="2"/>
        <v>1840851</v>
      </c>
      <c r="P14" s="63">
        <f t="shared" si="2"/>
        <v>2118584</v>
      </c>
      <c r="Q14" s="63">
        <f t="shared" si="2"/>
        <v>2212841</v>
      </c>
    </row>
    <row r="15" spans="1:17" ht="15" customHeight="1">
      <c r="A15" s="69" t="s">
        <v>149</v>
      </c>
      <c r="B15" s="58">
        <f t="shared" ref="B15:Q15" si="3">B8-B14</f>
        <v>347814</v>
      </c>
      <c r="C15" s="58">
        <f t="shared" si="3"/>
        <v>456423</v>
      </c>
      <c r="D15" s="58">
        <f t="shared" si="3"/>
        <v>550623</v>
      </c>
      <c r="E15" s="58">
        <f t="shared" si="3"/>
        <v>572916</v>
      </c>
      <c r="F15" s="58">
        <f t="shared" si="3"/>
        <v>747505</v>
      </c>
      <c r="G15" s="58">
        <f t="shared" si="3"/>
        <v>732183</v>
      </c>
      <c r="H15" s="58">
        <f t="shared" si="3"/>
        <v>1085338</v>
      </c>
      <c r="I15" s="58">
        <f t="shared" si="3"/>
        <v>1198787</v>
      </c>
      <c r="J15" s="58">
        <f t="shared" si="3"/>
        <v>1283619</v>
      </c>
      <c r="K15" s="58">
        <f t="shared" si="3"/>
        <v>1402939</v>
      </c>
      <c r="L15" s="58">
        <f t="shared" si="3"/>
        <v>1633153</v>
      </c>
      <c r="M15" s="58">
        <f t="shared" si="3"/>
        <v>1797467</v>
      </c>
      <c r="N15" s="58">
        <f t="shared" si="3"/>
        <v>1584721</v>
      </c>
      <c r="O15" s="58">
        <f t="shared" si="3"/>
        <v>1953355</v>
      </c>
      <c r="P15" s="58">
        <f t="shared" si="3"/>
        <v>1930294</v>
      </c>
      <c r="Q15" s="58">
        <f t="shared" si="3"/>
        <v>2419354</v>
      </c>
    </row>
    <row r="16" spans="1:17" ht="15" customHeight="1">
      <c r="A16" s="6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spans="1:17" ht="15" customHeight="1">
      <c r="A17" s="67" t="s">
        <v>150</v>
      </c>
      <c r="B17" s="57">
        <v>0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</row>
    <row r="18" spans="1:17" ht="15" customHeight="1">
      <c r="A18" s="67" t="s">
        <v>151</v>
      </c>
      <c r="B18" s="57">
        <v>0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</row>
    <row r="19" spans="1:17" ht="15" customHeight="1">
      <c r="A19" s="67" t="s">
        <v>152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64">
        <v>-2105</v>
      </c>
      <c r="H19" s="64">
        <v>-5653</v>
      </c>
      <c r="I19" s="57">
        <v>2836</v>
      </c>
      <c r="J19" s="57">
        <v>9653</v>
      </c>
      <c r="K19" s="57">
        <v>13023</v>
      </c>
      <c r="L19" s="64">
        <v>-6996</v>
      </c>
      <c r="M19" s="57">
        <v>3952</v>
      </c>
      <c r="N19" s="64">
        <v>-12757</v>
      </c>
      <c r="O19" s="57">
        <v>115127</v>
      </c>
      <c r="P19" s="57">
        <v>59165</v>
      </c>
      <c r="Q19" s="57">
        <v>63175</v>
      </c>
    </row>
    <row r="20" spans="1:17" ht="15" customHeight="1">
      <c r="A20" s="69" t="s">
        <v>153</v>
      </c>
      <c r="B20" s="65">
        <f t="shared" ref="B20:Q20" si="4">B15-B18+B17-B19</f>
        <v>347814</v>
      </c>
      <c r="C20" s="65">
        <f t="shared" si="4"/>
        <v>456423</v>
      </c>
      <c r="D20" s="65">
        <f t="shared" si="4"/>
        <v>550623</v>
      </c>
      <c r="E20" s="65">
        <f t="shared" si="4"/>
        <v>572916</v>
      </c>
      <c r="F20" s="65">
        <f t="shared" si="4"/>
        <v>747505</v>
      </c>
      <c r="G20" s="65">
        <f t="shared" si="4"/>
        <v>734288</v>
      </c>
      <c r="H20" s="65">
        <f t="shared" si="4"/>
        <v>1090991</v>
      </c>
      <c r="I20" s="65">
        <f t="shared" si="4"/>
        <v>1195951</v>
      </c>
      <c r="J20" s="65">
        <f t="shared" si="4"/>
        <v>1273966</v>
      </c>
      <c r="K20" s="65">
        <f t="shared" si="4"/>
        <v>1389916</v>
      </c>
      <c r="L20" s="65">
        <f t="shared" si="4"/>
        <v>1640149</v>
      </c>
      <c r="M20" s="65">
        <f t="shared" si="4"/>
        <v>1793515</v>
      </c>
      <c r="N20" s="65">
        <f t="shared" si="4"/>
        <v>1597478</v>
      </c>
      <c r="O20" s="65">
        <f t="shared" si="4"/>
        <v>1838228</v>
      </c>
      <c r="P20" s="65">
        <f t="shared" si="4"/>
        <v>1871129</v>
      </c>
      <c r="Q20" s="65">
        <f t="shared" si="4"/>
        <v>2356179</v>
      </c>
    </row>
    <row r="21" spans="1:17" ht="15" customHeight="1">
      <c r="A21" s="6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</row>
    <row r="22" spans="1:17" ht="15" customHeight="1">
      <c r="A22" s="67" t="s">
        <v>154</v>
      </c>
      <c r="B22" s="57">
        <v>137273</v>
      </c>
      <c r="C22" s="57">
        <v>171051</v>
      </c>
      <c r="D22" s="57">
        <v>209134</v>
      </c>
      <c r="E22" s="57">
        <v>225233</v>
      </c>
      <c r="F22" s="57">
        <v>262603</v>
      </c>
      <c r="G22" s="57">
        <v>344815</v>
      </c>
      <c r="H22" s="57">
        <v>367000</v>
      </c>
      <c r="I22" s="57">
        <v>380945</v>
      </c>
      <c r="J22" s="57">
        <v>300268</v>
      </c>
      <c r="K22" s="57">
        <v>308127</v>
      </c>
      <c r="L22" s="57">
        <v>216563</v>
      </c>
      <c r="M22" s="57">
        <v>423944</v>
      </c>
      <c r="N22" s="57">
        <v>380340</v>
      </c>
      <c r="O22" s="57">
        <v>437494</v>
      </c>
      <c r="P22" s="57">
        <v>480411</v>
      </c>
      <c r="Q22" s="57">
        <v>577097</v>
      </c>
    </row>
    <row r="23" spans="1:17" ht="15" customHeight="1">
      <c r="A23" s="69" t="s">
        <v>155</v>
      </c>
      <c r="B23" s="58">
        <f t="shared" ref="B23:Q23" si="5">B20-B22</f>
        <v>210541</v>
      </c>
      <c r="C23" s="58">
        <f t="shared" si="5"/>
        <v>285372</v>
      </c>
      <c r="D23" s="58">
        <f t="shared" si="5"/>
        <v>341489</v>
      </c>
      <c r="E23" s="58">
        <f t="shared" si="5"/>
        <v>347683</v>
      </c>
      <c r="F23" s="58">
        <f t="shared" si="5"/>
        <v>484902</v>
      </c>
      <c r="G23" s="58">
        <f t="shared" si="5"/>
        <v>389473</v>
      </c>
      <c r="H23" s="58">
        <f t="shared" si="5"/>
        <v>723991</v>
      </c>
      <c r="I23" s="58">
        <f t="shared" si="5"/>
        <v>815006</v>
      </c>
      <c r="J23" s="58">
        <f t="shared" si="5"/>
        <v>973698</v>
      </c>
      <c r="K23" s="58">
        <f t="shared" si="5"/>
        <v>1081789</v>
      </c>
      <c r="L23" s="58">
        <f t="shared" si="5"/>
        <v>1423586</v>
      </c>
      <c r="M23" s="58">
        <f t="shared" si="5"/>
        <v>1369571</v>
      </c>
      <c r="N23" s="58">
        <f t="shared" si="5"/>
        <v>1217138</v>
      </c>
      <c r="O23" s="58">
        <f t="shared" si="5"/>
        <v>1400734</v>
      </c>
      <c r="P23" s="58">
        <f t="shared" si="5"/>
        <v>1390718</v>
      </c>
      <c r="Q23" s="58">
        <f t="shared" si="5"/>
        <v>1779082</v>
      </c>
    </row>
    <row r="27" spans="1:17" ht="15" customHeight="1">
      <c r="A27" s="47" t="s">
        <v>106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</row>
    <row r="28" spans="1:17" ht="15" customHeight="1">
      <c r="A28" s="47" t="s">
        <v>137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</row>
    <row r="29" spans="1:17" ht="15" customHeight="1">
      <c r="A29" s="47"/>
      <c r="B29" s="47">
        <v>2010</v>
      </c>
      <c r="C29" s="47">
        <f>B29+1</f>
        <v>2011</v>
      </c>
      <c r="D29" s="47">
        <f t="shared" ref="D29:N29" si="6">C29+1</f>
        <v>2012</v>
      </c>
      <c r="E29" s="47">
        <f t="shared" si="6"/>
        <v>2013</v>
      </c>
      <c r="F29" s="47">
        <f t="shared" si="6"/>
        <v>2014</v>
      </c>
      <c r="G29" s="47">
        <f t="shared" si="6"/>
        <v>2015</v>
      </c>
      <c r="H29" s="47">
        <f t="shared" si="6"/>
        <v>2016</v>
      </c>
      <c r="I29" s="47">
        <f t="shared" si="6"/>
        <v>2017</v>
      </c>
      <c r="J29" s="47">
        <f t="shared" si="6"/>
        <v>2018</v>
      </c>
      <c r="K29" s="47">
        <f t="shared" si="6"/>
        <v>2019</v>
      </c>
      <c r="L29" s="47">
        <f t="shared" si="6"/>
        <v>2020</v>
      </c>
      <c r="M29" s="47">
        <f t="shared" si="6"/>
        <v>2021</v>
      </c>
      <c r="N29" s="47">
        <f t="shared" si="6"/>
        <v>2022</v>
      </c>
      <c r="O29" s="47">
        <v>2023</v>
      </c>
      <c r="P29" s="47">
        <f>O29+1</f>
        <v>2024</v>
      </c>
      <c r="Q29" s="47">
        <f t="shared" ref="Q29" si="7">P29+1</f>
        <v>2025</v>
      </c>
    </row>
    <row r="30" spans="1:17" ht="15" customHeight="1">
      <c r="A30" s="70" t="s">
        <v>189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</row>
    <row r="31" spans="1:17" ht="15" customHeight="1">
      <c r="A31" s="67" t="s">
        <v>124</v>
      </c>
      <c r="B31" s="57">
        <v>354842</v>
      </c>
      <c r="C31" s="57">
        <v>359331</v>
      </c>
      <c r="D31" s="57">
        <v>222514</v>
      </c>
      <c r="E31" s="57">
        <v>211349</v>
      </c>
      <c r="F31" s="57">
        <v>370323</v>
      </c>
      <c r="G31" s="57">
        <v>2175417</v>
      </c>
      <c r="H31" s="57">
        <v>377582</v>
      </c>
      <c r="I31" s="57">
        <v>528622</v>
      </c>
      <c r="J31" s="57">
        <v>637513</v>
      </c>
      <c r="K31" s="57">
        <v>797957</v>
      </c>
      <c r="L31" s="57">
        <v>1180413</v>
      </c>
      <c r="M31" s="57">
        <v>1326462</v>
      </c>
      <c r="N31" s="57">
        <v>1307141</v>
      </c>
      <c r="O31" s="57">
        <v>2297675</v>
      </c>
      <c r="P31" s="57">
        <v>1533287</v>
      </c>
      <c r="Q31" s="57">
        <v>2088117</v>
      </c>
    </row>
    <row r="32" spans="1:17" ht="15" customHeight="1">
      <c r="A32" s="67" t="s">
        <v>125</v>
      </c>
      <c r="B32" s="57">
        <v>244649</v>
      </c>
      <c r="C32" s="57">
        <v>411282</v>
      </c>
      <c r="D32" s="57">
        <v>97042</v>
      </c>
      <c r="E32" s="57">
        <v>402247</v>
      </c>
      <c r="F32" s="57">
        <v>781134</v>
      </c>
      <c r="G32" s="57">
        <v>744610</v>
      </c>
      <c r="H32" s="57">
        <v>220554</v>
      </c>
      <c r="I32" s="57">
        <v>672933</v>
      </c>
      <c r="J32" s="57">
        <v>320650</v>
      </c>
      <c r="K32" s="57">
        <v>533063</v>
      </c>
      <c r="L32" s="57">
        <v>881354</v>
      </c>
      <c r="M32" s="57">
        <v>1749727</v>
      </c>
      <c r="N32" s="57">
        <v>1362314</v>
      </c>
      <c r="O32" s="57">
        <v>955605</v>
      </c>
      <c r="P32" s="57">
        <v>0</v>
      </c>
      <c r="Q32" s="57">
        <v>677084</v>
      </c>
    </row>
    <row r="33" spans="1:17" ht="15" customHeight="1">
      <c r="A33" s="67" t="s">
        <v>126</v>
      </c>
      <c r="B33" s="57">
        <v>101635</v>
      </c>
      <c r="C33" s="57">
        <v>218741</v>
      </c>
      <c r="D33" s="57">
        <v>236710</v>
      </c>
      <c r="E33" s="57">
        <f>291638+4542</f>
        <v>296180</v>
      </c>
      <c r="F33" s="57">
        <f>280203+552</f>
        <v>280755</v>
      </c>
      <c r="G33" s="57">
        <f>352955+125000</f>
        <v>477955</v>
      </c>
      <c r="H33" s="57">
        <f>448051+125000</f>
        <v>573051</v>
      </c>
      <c r="I33" s="57">
        <v>449476</v>
      </c>
      <c r="J33" s="57">
        <v>484562</v>
      </c>
      <c r="K33" s="57">
        <v>540330</v>
      </c>
      <c r="L33" s="57">
        <v>666012</v>
      </c>
      <c r="M33" s="57">
        <v>896658</v>
      </c>
      <c r="N33" s="57">
        <v>1016203</v>
      </c>
      <c r="O33" s="57">
        <v>1193964</v>
      </c>
      <c r="P33" s="57">
        <v>1221646</v>
      </c>
      <c r="Q33" s="57">
        <v>1618072</v>
      </c>
    </row>
    <row r="34" spans="1:17" ht="15" customHeight="1">
      <c r="A34" s="67" t="s">
        <v>127</v>
      </c>
      <c r="B34" s="57">
        <v>153241</v>
      </c>
      <c r="C34" s="57">
        <v>155613</v>
      </c>
      <c r="D34" s="57">
        <v>203106</v>
      </c>
      <c r="E34" s="57">
        <v>221449</v>
      </c>
      <c r="F34" s="57">
        <v>174573</v>
      </c>
      <c r="G34" s="57">
        <v>156121</v>
      </c>
      <c r="H34" s="57">
        <v>161971</v>
      </c>
      <c r="I34" s="57">
        <v>255745</v>
      </c>
      <c r="J34" s="57">
        <v>277705</v>
      </c>
      <c r="K34" s="57">
        <v>360731</v>
      </c>
      <c r="L34" s="57">
        <v>333085</v>
      </c>
      <c r="M34" s="57">
        <v>593357</v>
      </c>
      <c r="N34" s="57">
        <v>935631</v>
      </c>
      <c r="O34" s="57">
        <v>971406</v>
      </c>
      <c r="P34" s="57">
        <v>737107</v>
      </c>
      <c r="Q34" s="57">
        <v>799623</v>
      </c>
    </row>
    <row r="35" spans="1:17" ht="15" customHeight="1">
      <c r="A35" s="67" t="s">
        <v>128</v>
      </c>
      <c r="B35" s="57">
        <v>17022</v>
      </c>
      <c r="C35" s="57">
        <v>20912</v>
      </c>
      <c r="D35" s="57">
        <v>24983</v>
      </c>
      <c r="E35" s="57">
        <v>21376</v>
      </c>
      <c r="F35" s="57">
        <v>19673</v>
      </c>
      <c r="G35" s="57">
        <v>26967</v>
      </c>
      <c r="H35" s="57">
        <v>32562</v>
      </c>
      <c r="I35" s="57">
        <v>40877</v>
      </c>
      <c r="J35" s="57">
        <v>44909</v>
      </c>
      <c r="K35" s="57">
        <v>54868</v>
      </c>
      <c r="L35" s="57">
        <v>55358</v>
      </c>
      <c r="M35" s="57">
        <v>82668</v>
      </c>
      <c r="N35" s="57">
        <v>109823</v>
      </c>
      <c r="O35" s="57">
        <v>116195</v>
      </c>
      <c r="P35" s="57">
        <v>107262</v>
      </c>
      <c r="Q35" s="57">
        <v>103551</v>
      </c>
    </row>
    <row r="36" spans="1:17" ht="15" customHeight="1">
      <c r="A36" s="67" t="s">
        <v>157</v>
      </c>
      <c r="B36" s="57"/>
      <c r="C36" s="57"/>
      <c r="D36" s="57"/>
      <c r="E36" s="57">
        <v>0</v>
      </c>
      <c r="F36" s="57">
        <v>18079</v>
      </c>
      <c r="G36" s="57">
        <v>0</v>
      </c>
      <c r="H36" s="57">
        <v>0</v>
      </c>
      <c r="I36" s="57"/>
      <c r="J36" s="57"/>
      <c r="K36" s="57"/>
      <c r="L36" s="57"/>
      <c r="M36" s="57"/>
      <c r="N36" s="57"/>
      <c r="O36" s="57"/>
      <c r="P36" s="57"/>
      <c r="Q36" s="57"/>
    </row>
    <row r="37" spans="1:17" ht="15" customHeight="1">
      <c r="A37" s="67" t="s">
        <v>158</v>
      </c>
      <c r="B37" s="57">
        <v>9992</v>
      </c>
      <c r="C37" s="57">
        <v>370</v>
      </c>
      <c r="D37" s="57">
        <v>33709</v>
      </c>
      <c r="E37" s="57">
        <v>9518</v>
      </c>
      <c r="F37" s="57">
        <v>8617</v>
      </c>
      <c r="G37" s="57">
        <v>18462</v>
      </c>
      <c r="H37" s="57">
        <v>66550</v>
      </c>
      <c r="I37" s="57">
        <v>138724</v>
      </c>
      <c r="J37" s="57">
        <v>38831</v>
      </c>
      <c r="K37" s="57"/>
      <c r="L37" s="57">
        <v>24733</v>
      </c>
      <c r="M37" s="57">
        <v>33238</v>
      </c>
      <c r="N37" s="57">
        <v>33785</v>
      </c>
      <c r="O37" s="57">
        <v>54151</v>
      </c>
      <c r="P37" s="57">
        <v>42202</v>
      </c>
      <c r="Q37" s="57">
        <v>74637</v>
      </c>
    </row>
    <row r="38" spans="1:17" ht="15" customHeight="1">
      <c r="A38" s="67" t="s">
        <v>159</v>
      </c>
      <c r="B38" s="57">
        <v>16772</v>
      </c>
      <c r="C38" s="57">
        <v>16428</v>
      </c>
      <c r="D38" s="57">
        <v>17004</v>
      </c>
      <c r="E38" s="57">
        <v>20924</v>
      </c>
      <c r="F38" s="57">
        <v>40275</v>
      </c>
      <c r="G38" s="57">
        <v>0</v>
      </c>
      <c r="H38" s="57">
        <v>0</v>
      </c>
      <c r="I38" s="57"/>
      <c r="J38" s="57"/>
      <c r="K38" s="57"/>
      <c r="L38" s="57"/>
      <c r="M38" s="57"/>
      <c r="N38" s="57"/>
      <c r="O38" s="57"/>
      <c r="P38" s="57"/>
      <c r="Q38" s="57"/>
    </row>
    <row r="39" spans="1:17" ht="15" customHeight="1">
      <c r="A39" s="69" t="s">
        <v>129</v>
      </c>
      <c r="B39" s="65">
        <f t="shared" ref="B39:Q39" si="8">B38+B35+B34+B33+B32+B31+B37+B36</f>
        <v>898153</v>
      </c>
      <c r="C39" s="65">
        <f t="shared" si="8"/>
        <v>1182677</v>
      </c>
      <c r="D39" s="65">
        <f t="shared" si="8"/>
        <v>835068</v>
      </c>
      <c r="E39" s="65">
        <f t="shared" si="8"/>
        <v>1183043</v>
      </c>
      <c r="F39" s="65">
        <f t="shared" si="8"/>
        <v>1693429</v>
      </c>
      <c r="G39" s="65">
        <f t="shared" si="8"/>
        <v>3599532</v>
      </c>
      <c r="H39" s="65">
        <f t="shared" si="8"/>
        <v>1432270</v>
      </c>
      <c r="I39" s="65">
        <f t="shared" si="8"/>
        <v>2086377</v>
      </c>
      <c r="J39" s="65">
        <f t="shared" si="8"/>
        <v>1804170</v>
      </c>
      <c r="K39" s="65">
        <f t="shared" si="8"/>
        <v>2286949</v>
      </c>
      <c r="L39" s="65">
        <f t="shared" si="8"/>
        <v>3140955</v>
      </c>
      <c r="M39" s="65">
        <f t="shared" si="8"/>
        <v>4682110</v>
      </c>
      <c r="N39" s="65">
        <f t="shared" si="8"/>
        <v>4764897</v>
      </c>
      <c r="O39" s="65">
        <f t="shared" si="8"/>
        <v>5588996</v>
      </c>
      <c r="P39" s="65">
        <f t="shared" si="8"/>
        <v>3641504</v>
      </c>
      <c r="Q39" s="65">
        <f t="shared" si="8"/>
        <v>5361084</v>
      </c>
    </row>
    <row r="40" spans="1:17" ht="15" customHeight="1">
      <c r="A40" s="70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</row>
    <row r="41" spans="1:17" ht="15" customHeight="1">
      <c r="A41" s="70" t="s">
        <v>160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</row>
    <row r="42" spans="1:17" ht="15" customHeight="1">
      <c r="A42" s="67" t="s">
        <v>161</v>
      </c>
      <c r="B42" s="61">
        <v>44189</v>
      </c>
      <c r="C42" s="61">
        <v>23194</v>
      </c>
      <c r="D42" s="61">
        <v>21393</v>
      </c>
      <c r="E42" s="61">
        <v>9792</v>
      </c>
      <c r="F42" s="61">
        <v>42940</v>
      </c>
      <c r="G42" s="61">
        <v>15348</v>
      </c>
      <c r="H42" s="61">
        <v>2394</v>
      </c>
      <c r="I42" s="61">
        <v>2366</v>
      </c>
      <c r="J42" s="61"/>
      <c r="K42" s="61"/>
      <c r="L42" s="61">
        <v>44291</v>
      </c>
      <c r="M42" s="61">
        <v>99419</v>
      </c>
      <c r="N42" s="61">
        <v>61443</v>
      </c>
      <c r="O42" s="61">
        <v>76431</v>
      </c>
      <c r="P42" s="61">
        <v>0</v>
      </c>
      <c r="Q42" s="61">
        <v>48329</v>
      </c>
    </row>
    <row r="43" spans="1:17" ht="15" customHeight="1">
      <c r="A43" s="67" t="s">
        <v>162</v>
      </c>
      <c r="B43" s="57">
        <v>34551</v>
      </c>
      <c r="C43" s="57">
        <v>45151</v>
      </c>
      <c r="D43" s="57">
        <v>69137</v>
      </c>
      <c r="E43" s="57">
        <v>88143</v>
      </c>
      <c r="F43" s="57">
        <v>90156</v>
      </c>
      <c r="G43" s="57">
        <v>97354</v>
      </c>
      <c r="H43" s="57">
        <v>173343</v>
      </c>
      <c r="I43" s="57">
        <v>230276</v>
      </c>
      <c r="J43" s="57">
        <v>243051</v>
      </c>
      <c r="K43" s="57">
        <v>298640</v>
      </c>
      <c r="L43" s="57">
        <v>314656</v>
      </c>
      <c r="M43" s="57">
        <v>313753</v>
      </c>
      <c r="N43" s="57">
        <v>516897</v>
      </c>
      <c r="O43" s="57">
        <v>890796</v>
      </c>
      <c r="P43" s="57">
        <v>1047024</v>
      </c>
      <c r="Q43" s="57">
        <v>1081544</v>
      </c>
    </row>
    <row r="44" spans="1:17" ht="15" customHeight="1">
      <c r="A44" s="67" t="s">
        <v>163</v>
      </c>
      <c r="B44" s="57">
        <v>58475</v>
      </c>
      <c r="C44" s="57">
        <v>58576</v>
      </c>
      <c r="D44" s="57">
        <v>59503</v>
      </c>
      <c r="E44" s="57">
        <v>63611</v>
      </c>
      <c r="F44" s="57">
        <v>54106</v>
      </c>
      <c r="G44" s="57">
        <v>140468</v>
      </c>
      <c r="H44" s="57">
        <v>159556</v>
      </c>
      <c r="I44" s="57">
        <v>92333</v>
      </c>
      <c r="J44" s="57">
        <v>85687</v>
      </c>
      <c r="K44" s="57"/>
      <c r="L44" s="57">
        <v>241650</v>
      </c>
      <c r="M44" s="57">
        <v>225221</v>
      </c>
      <c r="N44" s="57">
        <v>177039</v>
      </c>
      <c r="O44" s="57">
        <v>175003</v>
      </c>
      <c r="P44" s="57">
        <v>184260</v>
      </c>
      <c r="Q44" s="57">
        <v>188646</v>
      </c>
    </row>
    <row r="45" spans="1:17" ht="15" customHeight="1">
      <c r="A45" s="67" t="s">
        <v>164</v>
      </c>
      <c r="B45" s="57">
        <v>43316</v>
      </c>
      <c r="C45" s="57">
        <v>48396</v>
      </c>
      <c r="D45" s="57">
        <v>54648</v>
      </c>
      <c r="E45" s="57">
        <v>65774</v>
      </c>
      <c r="F45" s="57">
        <v>50748</v>
      </c>
      <c r="G45" s="57">
        <v>427986</v>
      </c>
      <c r="H45" s="57">
        <v>1032635</v>
      </c>
      <c r="I45" s="57">
        <v>1034085</v>
      </c>
      <c r="J45" s="57">
        <v>1045878</v>
      </c>
      <c r="K45" s="57">
        <v>1052105</v>
      </c>
      <c r="L45" s="57">
        <v>1059046</v>
      </c>
      <c r="M45" s="57">
        <v>1072386</v>
      </c>
      <c r="N45" s="57">
        <v>1220410</v>
      </c>
      <c r="O45" s="57">
        <v>1427139</v>
      </c>
      <c r="P45" s="57">
        <v>1414252</v>
      </c>
      <c r="Q45" s="57">
        <v>1379268</v>
      </c>
    </row>
    <row r="46" spans="1:17" ht="15" customHeight="1">
      <c r="A46" s="67" t="s">
        <v>165</v>
      </c>
      <c r="B46" s="57">
        <v>0</v>
      </c>
      <c r="C46" s="57">
        <v>0</v>
      </c>
      <c r="D46" s="57">
        <v>0</v>
      </c>
      <c r="E46" s="57">
        <v>0</v>
      </c>
      <c r="F46" s="57">
        <v>0</v>
      </c>
      <c r="G46" s="57">
        <v>1279715</v>
      </c>
      <c r="H46" s="57">
        <v>1331643</v>
      </c>
      <c r="I46" s="57">
        <v>1331643</v>
      </c>
      <c r="J46" s="57">
        <v>1331643</v>
      </c>
      <c r="K46" s="57">
        <v>1331643</v>
      </c>
      <c r="L46" s="57">
        <v>1331643</v>
      </c>
      <c r="M46" s="57">
        <v>1331643</v>
      </c>
      <c r="N46" s="57">
        <v>1417941</v>
      </c>
      <c r="O46" s="57">
        <v>1417941</v>
      </c>
      <c r="P46" s="57">
        <v>1331643</v>
      </c>
      <c r="Q46" s="57">
        <v>1331643</v>
      </c>
    </row>
    <row r="47" spans="1:17" ht="15" customHeight="1">
      <c r="A47" s="67" t="s">
        <v>166</v>
      </c>
      <c r="B47" s="57">
        <v>3447</v>
      </c>
      <c r="C47" s="57">
        <v>4405</v>
      </c>
      <c r="D47" s="57">
        <v>3576</v>
      </c>
      <c r="E47" s="57">
        <v>10146</v>
      </c>
      <c r="F47" s="57">
        <v>7496</v>
      </c>
      <c r="G47" s="57">
        <v>10874</v>
      </c>
      <c r="H47" s="57">
        <v>21630</v>
      </c>
      <c r="I47" s="57">
        <v>13932</v>
      </c>
      <c r="J47" s="57">
        <v>16462</v>
      </c>
      <c r="K47" s="57">
        <v>53973</v>
      </c>
      <c r="L47" s="57">
        <v>70475</v>
      </c>
      <c r="M47" s="57">
        <v>80252</v>
      </c>
      <c r="N47" s="57">
        <v>134478</v>
      </c>
      <c r="O47" s="57">
        <v>110216</v>
      </c>
      <c r="P47" s="57">
        <v>100406</v>
      </c>
      <c r="Q47" s="57">
        <v>159431</v>
      </c>
    </row>
    <row r="48" spans="1:17" ht="15" customHeight="1">
      <c r="A48" s="67" t="s">
        <v>167</v>
      </c>
      <c r="B48" s="61">
        <f t="shared" ref="B48:Q48" si="9">B47+B46+B45+B43+B44+B42</f>
        <v>183978</v>
      </c>
      <c r="C48" s="61">
        <f t="shared" si="9"/>
        <v>179722</v>
      </c>
      <c r="D48" s="61">
        <f t="shared" si="9"/>
        <v>208257</v>
      </c>
      <c r="E48" s="61">
        <f t="shared" si="9"/>
        <v>237466</v>
      </c>
      <c r="F48" s="61">
        <f t="shared" si="9"/>
        <v>245446</v>
      </c>
      <c r="G48" s="61">
        <f t="shared" si="9"/>
        <v>1971745</v>
      </c>
      <c r="H48" s="61">
        <f t="shared" si="9"/>
        <v>2721201</v>
      </c>
      <c r="I48" s="61">
        <f t="shared" si="9"/>
        <v>2704635</v>
      </c>
      <c r="J48" s="61">
        <f t="shared" si="9"/>
        <v>2722721</v>
      </c>
      <c r="K48" s="61">
        <f t="shared" si="9"/>
        <v>2736361</v>
      </c>
      <c r="L48" s="61">
        <f t="shared" si="9"/>
        <v>3061761</v>
      </c>
      <c r="M48" s="61">
        <f t="shared" si="9"/>
        <v>3122674</v>
      </c>
      <c r="N48" s="61">
        <f t="shared" si="9"/>
        <v>3528208</v>
      </c>
      <c r="O48" s="61">
        <f t="shared" si="9"/>
        <v>4097526</v>
      </c>
      <c r="P48" s="61">
        <f t="shared" si="9"/>
        <v>4077585</v>
      </c>
      <c r="Q48" s="61">
        <f t="shared" si="9"/>
        <v>4188861</v>
      </c>
    </row>
    <row r="49" spans="1:17" ht="15" customHeight="1">
      <c r="A49" s="76" t="s">
        <v>168</v>
      </c>
      <c r="B49" s="80">
        <f t="shared" ref="B49:Q49" si="10">B48+B39</f>
        <v>1082131</v>
      </c>
      <c r="C49" s="80">
        <f t="shared" si="10"/>
        <v>1362399</v>
      </c>
      <c r="D49" s="80">
        <f t="shared" si="10"/>
        <v>1043325</v>
      </c>
      <c r="E49" s="80">
        <f t="shared" si="10"/>
        <v>1420509</v>
      </c>
      <c r="F49" s="80">
        <f t="shared" si="10"/>
        <v>1938875</v>
      </c>
      <c r="G49" s="80">
        <f t="shared" si="10"/>
        <v>5571277</v>
      </c>
      <c r="H49" s="80">
        <f t="shared" si="10"/>
        <v>4153471</v>
      </c>
      <c r="I49" s="80">
        <f t="shared" si="10"/>
        <v>4791012</v>
      </c>
      <c r="J49" s="80">
        <f t="shared" si="10"/>
        <v>4526891</v>
      </c>
      <c r="K49" s="80">
        <f t="shared" si="10"/>
        <v>5023310</v>
      </c>
      <c r="L49" s="80">
        <f t="shared" si="10"/>
        <v>6202716</v>
      </c>
      <c r="M49" s="80">
        <f t="shared" si="10"/>
        <v>7804784</v>
      </c>
      <c r="N49" s="80">
        <f t="shared" si="10"/>
        <v>8293105</v>
      </c>
      <c r="O49" s="80">
        <f t="shared" si="10"/>
        <v>9686522</v>
      </c>
      <c r="P49" s="80">
        <f t="shared" si="10"/>
        <v>7719089</v>
      </c>
      <c r="Q49" s="80">
        <f t="shared" si="10"/>
        <v>9549945</v>
      </c>
    </row>
    <row r="50" spans="1:17" ht="15" customHeight="1">
      <c r="A50" s="70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17" ht="15" customHeight="1">
      <c r="A51" s="70" t="s">
        <v>169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 ht="15" customHeight="1">
      <c r="A52" s="67" t="s">
        <v>170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spans="1:17" ht="15" customHeight="1">
      <c r="A53" s="67" t="s">
        <v>130</v>
      </c>
      <c r="B53" s="57">
        <v>85674</v>
      </c>
      <c r="C53" s="57">
        <v>113446</v>
      </c>
      <c r="D53" s="57">
        <v>127330</v>
      </c>
      <c r="E53" s="57">
        <v>119376</v>
      </c>
      <c r="F53" s="57">
        <v>127641</v>
      </c>
      <c r="G53" s="57">
        <v>144763</v>
      </c>
      <c r="H53" s="57">
        <v>193270</v>
      </c>
      <c r="I53" s="57">
        <v>245910</v>
      </c>
      <c r="J53" s="57">
        <v>248760</v>
      </c>
      <c r="K53" s="57">
        <v>274045</v>
      </c>
      <c r="L53" s="57">
        <v>296800</v>
      </c>
      <c r="M53" s="57">
        <v>404263</v>
      </c>
      <c r="N53" s="57">
        <v>444265</v>
      </c>
      <c r="O53" s="57">
        <v>564379</v>
      </c>
      <c r="P53" s="57">
        <v>466775</v>
      </c>
      <c r="Q53" s="57">
        <v>565974</v>
      </c>
    </row>
    <row r="54" spans="1:17" ht="15" customHeight="1">
      <c r="A54" s="67" t="s">
        <v>131</v>
      </c>
      <c r="B54" s="57">
        <v>23811</v>
      </c>
      <c r="C54" s="57">
        <v>31966</v>
      </c>
      <c r="D54" s="57">
        <v>38916</v>
      </c>
      <c r="E54" s="57">
        <v>59113</v>
      </c>
      <c r="F54" s="57">
        <v>40271</v>
      </c>
      <c r="G54" s="57">
        <v>81786</v>
      </c>
      <c r="H54" s="57">
        <v>79526</v>
      </c>
      <c r="I54" s="57">
        <v>87475</v>
      </c>
      <c r="J54" s="57">
        <v>112507</v>
      </c>
      <c r="K54" s="57">
        <v>114075</v>
      </c>
      <c r="L54" s="57">
        <v>142653</v>
      </c>
      <c r="M54" s="57">
        <v>210964</v>
      </c>
      <c r="N54" s="57">
        <v>172991</v>
      </c>
      <c r="O54" s="57">
        <v>183988</v>
      </c>
      <c r="P54" s="57">
        <v>220764</v>
      </c>
      <c r="Q54" s="57">
        <v>306085</v>
      </c>
    </row>
    <row r="55" spans="1:17" ht="15" customHeight="1">
      <c r="A55" s="67" t="s">
        <v>171</v>
      </c>
      <c r="B55" s="57">
        <v>407</v>
      </c>
      <c r="C55" s="57"/>
      <c r="D55" s="57"/>
      <c r="E55" s="57"/>
      <c r="F55" s="57"/>
      <c r="G55" s="57">
        <v>11018</v>
      </c>
      <c r="H55" s="57">
        <v>8184</v>
      </c>
      <c r="I55" s="57">
        <v>91</v>
      </c>
      <c r="J55" s="57">
        <v>0</v>
      </c>
      <c r="K55" s="57"/>
      <c r="L55" s="57"/>
      <c r="M55" s="57"/>
      <c r="N55" s="57"/>
      <c r="O55" s="57"/>
      <c r="P55" s="57"/>
      <c r="Q55" s="57"/>
    </row>
    <row r="56" spans="1:17" ht="15" customHeight="1">
      <c r="A56" s="67" t="s">
        <v>133</v>
      </c>
      <c r="B56" s="57">
        <v>10140</v>
      </c>
      <c r="C56" s="57">
        <v>11583</v>
      </c>
      <c r="D56" s="57">
        <v>12695</v>
      </c>
      <c r="E56" s="57">
        <v>13832</v>
      </c>
      <c r="F56" s="57">
        <v>49926</v>
      </c>
      <c r="G56" s="57">
        <v>32271</v>
      </c>
      <c r="H56" s="57">
        <v>41672</v>
      </c>
      <c r="I56" s="57">
        <v>43236</v>
      </c>
      <c r="J56" s="57">
        <v>44045</v>
      </c>
      <c r="K56" s="57"/>
      <c r="L56" s="57">
        <v>45429</v>
      </c>
      <c r="M56" s="57">
        <v>42530</v>
      </c>
      <c r="N56" s="57">
        <v>43311</v>
      </c>
      <c r="O56" s="57">
        <v>41914</v>
      </c>
      <c r="P56" s="57">
        <v>45809</v>
      </c>
      <c r="Q56" s="57">
        <v>45323</v>
      </c>
    </row>
    <row r="57" spans="1:17" ht="15" customHeight="1">
      <c r="A57" s="67" t="s">
        <v>172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</row>
    <row r="58" spans="1:17" ht="15" customHeight="1">
      <c r="A58" s="67" t="s">
        <v>132</v>
      </c>
      <c r="B58" s="61">
        <v>0</v>
      </c>
      <c r="C58" s="57">
        <v>87746</v>
      </c>
      <c r="D58" s="57">
        <v>91208</v>
      </c>
      <c r="E58" s="57">
        <v>99470</v>
      </c>
      <c r="F58" s="57">
        <v>114047</v>
      </c>
      <c r="G58" s="57">
        <v>115530</v>
      </c>
      <c r="H58" s="57">
        <v>110237</v>
      </c>
      <c r="I58" s="57">
        <v>137998</v>
      </c>
      <c r="J58" s="57">
        <v>145741</v>
      </c>
      <c r="K58" s="57">
        <v>166761</v>
      </c>
      <c r="L58" s="57">
        <v>186658</v>
      </c>
      <c r="M58" s="57">
        <v>211461</v>
      </c>
      <c r="N58" s="57">
        <v>255631</v>
      </c>
      <c r="O58" s="57">
        <v>269061</v>
      </c>
      <c r="P58" s="57">
        <v>267711</v>
      </c>
      <c r="Q58" s="57">
        <v>384070</v>
      </c>
    </row>
    <row r="59" spans="1:17" ht="15" customHeight="1">
      <c r="A59" s="67" t="s">
        <v>134</v>
      </c>
      <c r="B59" s="57">
        <v>7603</v>
      </c>
      <c r="C59" s="57">
        <v>10353</v>
      </c>
      <c r="D59" s="57">
        <v>12926</v>
      </c>
      <c r="E59" s="57">
        <v>14864</v>
      </c>
      <c r="F59" s="57">
        <v>17983</v>
      </c>
      <c r="G59" s="57">
        <v>22159</v>
      </c>
      <c r="H59" s="57">
        <v>30043</v>
      </c>
      <c r="I59" s="57">
        <v>34996</v>
      </c>
      <c r="J59" s="57">
        <v>39903</v>
      </c>
      <c r="K59" s="57"/>
      <c r="L59" s="57">
        <v>55015</v>
      </c>
      <c r="M59" s="57">
        <v>65459</v>
      </c>
      <c r="N59" s="57">
        <v>72463</v>
      </c>
      <c r="O59" s="57">
        <v>87392</v>
      </c>
      <c r="P59" s="57">
        <v>92454</v>
      </c>
      <c r="Q59" s="57">
        <v>114023</v>
      </c>
    </row>
    <row r="60" spans="1:17" ht="15" customHeight="1">
      <c r="A60" s="67" t="s">
        <v>135</v>
      </c>
      <c r="B60" s="57">
        <v>925</v>
      </c>
      <c r="C60" s="57">
        <v>10996</v>
      </c>
      <c r="D60" s="57">
        <v>5470</v>
      </c>
      <c r="E60" s="57">
        <v>9359</v>
      </c>
      <c r="F60" s="57">
        <v>5848</v>
      </c>
      <c r="G60" s="57">
        <v>2750</v>
      </c>
      <c r="H60" s="57">
        <v>7657</v>
      </c>
      <c r="I60" s="57">
        <v>10645</v>
      </c>
      <c r="J60" s="57">
        <v>10189</v>
      </c>
      <c r="K60" s="57">
        <v>14717</v>
      </c>
      <c r="L60" s="57">
        <v>23433</v>
      </c>
      <c r="M60" s="57">
        <v>30399</v>
      </c>
      <c r="N60" s="57">
        <v>13317</v>
      </c>
      <c r="O60" s="57">
        <v>14955</v>
      </c>
      <c r="P60" s="57">
        <v>4006</v>
      </c>
      <c r="Q60" s="57">
        <v>32305</v>
      </c>
    </row>
    <row r="61" spans="1:17" ht="15" customHeight="1">
      <c r="A61" s="67" t="s">
        <v>173</v>
      </c>
      <c r="B61" s="57">
        <v>274</v>
      </c>
      <c r="C61" s="57">
        <v>0</v>
      </c>
      <c r="D61" s="57">
        <v>0</v>
      </c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spans="1:17" ht="15" customHeight="1">
      <c r="A62" s="69" t="s">
        <v>174</v>
      </c>
      <c r="B62" s="81">
        <f t="shared" ref="B62:Q62" si="11">B52+B61+B60+B58+B54+B53+B57+B55+B56+B59</f>
        <v>128834</v>
      </c>
      <c r="C62" s="81">
        <f t="shared" si="11"/>
        <v>266090</v>
      </c>
      <c r="D62" s="81">
        <f t="shared" si="11"/>
        <v>288545</v>
      </c>
      <c r="E62" s="81">
        <f t="shared" si="11"/>
        <v>316014</v>
      </c>
      <c r="F62" s="81">
        <f t="shared" si="11"/>
        <v>355716</v>
      </c>
      <c r="G62" s="81">
        <f t="shared" si="11"/>
        <v>410277</v>
      </c>
      <c r="H62" s="81">
        <f t="shared" si="11"/>
        <v>470589</v>
      </c>
      <c r="I62" s="81">
        <f t="shared" si="11"/>
        <v>560351</v>
      </c>
      <c r="J62" s="81">
        <f t="shared" si="11"/>
        <v>601145</v>
      </c>
      <c r="K62" s="81">
        <f t="shared" si="11"/>
        <v>569598</v>
      </c>
      <c r="L62" s="81">
        <f t="shared" si="11"/>
        <v>749988</v>
      </c>
      <c r="M62" s="81">
        <f t="shared" si="11"/>
        <v>965076</v>
      </c>
      <c r="N62" s="81">
        <f t="shared" si="11"/>
        <v>1001978</v>
      </c>
      <c r="O62" s="81">
        <f t="shared" si="11"/>
        <v>1161689</v>
      </c>
      <c r="P62" s="81">
        <f t="shared" si="11"/>
        <v>1097519</v>
      </c>
      <c r="Q62" s="81">
        <f t="shared" si="11"/>
        <v>1447780</v>
      </c>
    </row>
    <row r="63" spans="1:17" ht="15" customHeight="1">
      <c r="A63" s="70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</row>
    <row r="64" spans="1:17" ht="15" customHeight="1">
      <c r="A64" s="70" t="s">
        <v>175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</row>
    <row r="65" spans="1:17" ht="15" customHeight="1">
      <c r="A65" s="67" t="s">
        <v>176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>
        <v>373951</v>
      </c>
      <c r="Q65" s="57">
        <v>0</v>
      </c>
    </row>
    <row r="66" spans="1:17" ht="15" customHeight="1">
      <c r="A66" s="67" t="s">
        <v>133</v>
      </c>
      <c r="B66" s="57">
        <v>124899</v>
      </c>
      <c r="C66" s="57">
        <v>117151</v>
      </c>
      <c r="D66" s="57">
        <v>110383</v>
      </c>
      <c r="E66" s="57">
        <v>112216</v>
      </c>
      <c r="F66" s="57">
        <v>68009</v>
      </c>
      <c r="G66" s="57">
        <v>351590</v>
      </c>
      <c r="H66" s="57">
        <v>353173</v>
      </c>
      <c r="I66" s="57">
        <v>334354</v>
      </c>
      <c r="J66" s="57">
        <v>312224</v>
      </c>
      <c r="K66" s="57">
        <v>287469</v>
      </c>
      <c r="L66" s="57">
        <v>264436</v>
      </c>
      <c r="M66" s="57">
        <v>243249</v>
      </c>
      <c r="N66" s="57">
        <v>223800</v>
      </c>
      <c r="O66" s="57">
        <v>204251</v>
      </c>
      <c r="P66" s="57">
        <v>179008</v>
      </c>
      <c r="Q66" s="57">
        <v>159991</v>
      </c>
    </row>
    <row r="67" spans="1:17" ht="15" customHeight="1">
      <c r="A67" s="67" t="s">
        <v>177</v>
      </c>
      <c r="B67" s="57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/>
      <c r="J67" s="57"/>
      <c r="K67" s="57"/>
      <c r="L67" s="57"/>
      <c r="M67" s="57"/>
      <c r="N67" s="57"/>
      <c r="O67" s="57"/>
      <c r="P67" s="57"/>
      <c r="Q67" s="57"/>
    </row>
    <row r="68" spans="1:17" ht="15" customHeight="1">
      <c r="A68" s="67" t="s">
        <v>178</v>
      </c>
      <c r="B68" s="57"/>
      <c r="C68" s="57"/>
      <c r="D68" s="57"/>
      <c r="E68" s="57"/>
      <c r="F68" s="57"/>
      <c r="G68" s="57"/>
      <c r="H68" s="57"/>
      <c r="I68" s="57">
        <v>1095</v>
      </c>
      <c r="J68" s="57">
        <v>2621</v>
      </c>
      <c r="K68" s="57"/>
      <c r="L68" s="57">
        <v>27432</v>
      </c>
      <c r="M68" s="57">
        <v>29508</v>
      </c>
      <c r="N68" s="57">
        <v>42286</v>
      </c>
      <c r="O68" s="57">
        <v>91838</v>
      </c>
      <c r="P68" s="57">
        <v>110893</v>
      </c>
      <c r="Q68" s="57">
        <v>127066</v>
      </c>
    </row>
    <row r="69" spans="1:17" ht="15" customHeight="1">
      <c r="A69" s="67" t="s">
        <v>179</v>
      </c>
      <c r="B69" s="82">
        <f t="shared" ref="B69:Q69" si="12">B66+B65+B67+B68</f>
        <v>124899</v>
      </c>
      <c r="C69" s="82">
        <f t="shared" si="12"/>
        <v>117151</v>
      </c>
      <c r="D69" s="82">
        <f t="shared" si="12"/>
        <v>110383</v>
      </c>
      <c r="E69" s="82">
        <f t="shared" si="12"/>
        <v>112216</v>
      </c>
      <c r="F69" s="82">
        <f t="shared" si="12"/>
        <v>68009</v>
      </c>
      <c r="G69" s="82">
        <f t="shared" si="12"/>
        <v>351590</v>
      </c>
      <c r="H69" s="82">
        <f t="shared" si="12"/>
        <v>353173</v>
      </c>
      <c r="I69" s="82">
        <f t="shared" si="12"/>
        <v>335449</v>
      </c>
      <c r="J69" s="82">
        <f t="shared" si="12"/>
        <v>314845</v>
      </c>
      <c r="K69" s="82">
        <f t="shared" si="12"/>
        <v>287469</v>
      </c>
      <c r="L69" s="82">
        <f t="shared" si="12"/>
        <v>291868</v>
      </c>
      <c r="M69" s="82">
        <f t="shared" si="12"/>
        <v>272757</v>
      </c>
      <c r="N69" s="82">
        <f t="shared" si="12"/>
        <v>266086</v>
      </c>
      <c r="O69" s="82">
        <f t="shared" si="12"/>
        <v>296089</v>
      </c>
      <c r="P69" s="82">
        <f t="shared" si="12"/>
        <v>663852</v>
      </c>
      <c r="Q69" s="82">
        <f t="shared" si="12"/>
        <v>287057</v>
      </c>
    </row>
    <row r="70" spans="1:17" ht="15" customHeight="1">
      <c r="A70" s="77" t="s">
        <v>180</v>
      </c>
      <c r="B70" s="80">
        <f t="shared" ref="B70:Q70" si="13">B69+B62</f>
        <v>253733</v>
      </c>
      <c r="C70" s="80">
        <f t="shared" si="13"/>
        <v>383241</v>
      </c>
      <c r="D70" s="80">
        <f t="shared" si="13"/>
        <v>398928</v>
      </c>
      <c r="E70" s="80">
        <f t="shared" si="13"/>
        <v>428230</v>
      </c>
      <c r="F70" s="80">
        <f t="shared" si="13"/>
        <v>423725</v>
      </c>
      <c r="G70" s="80">
        <f t="shared" si="13"/>
        <v>761867</v>
      </c>
      <c r="H70" s="80">
        <f t="shared" si="13"/>
        <v>823762</v>
      </c>
      <c r="I70" s="80">
        <f t="shared" si="13"/>
        <v>895800</v>
      </c>
      <c r="J70" s="80">
        <f t="shared" si="13"/>
        <v>915990</v>
      </c>
      <c r="K70" s="80">
        <f t="shared" si="13"/>
        <v>857067</v>
      </c>
      <c r="L70" s="80">
        <f t="shared" si="13"/>
        <v>1041856</v>
      </c>
      <c r="M70" s="80">
        <f t="shared" si="13"/>
        <v>1237833</v>
      </c>
      <c r="N70" s="80">
        <f t="shared" si="13"/>
        <v>1268064</v>
      </c>
      <c r="O70" s="80">
        <f t="shared" si="13"/>
        <v>1457778</v>
      </c>
      <c r="P70" s="80">
        <f t="shared" si="13"/>
        <v>1761371</v>
      </c>
      <c r="Q70" s="80">
        <f t="shared" si="13"/>
        <v>1734837</v>
      </c>
    </row>
    <row r="71" spans="1:17" ht="15" customHeight="1">
      <c r="A71" s="6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</row>
    <row r="72" spans="1:17" ht="15" customHeight="1">
      <c r="A72" s="70" t="s">
        <v>181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</row>
    <row r="73" spans="1:17" ht="15" customHeight="1">
      <c r="A73" s="67" t="s">
        <v>182</v>
      </c>
      <c r="B73" s="57">
        <v>494</v>
      </c>
      <c r="C73" s="57">
        <v>994</v>
      </c>
      <c r="D73" s="57">
        <v>1019</v>
      </c>
      <c r="E73" s="57">
        <v>1030</v>
      </c>
      <c r="F73" s="57">
        <v>1035</v>
      </c>
      <c r="G73" s="57">
        <v>3105</v>
      </c>
      <c r="H73" s="57">
        <v>3116</v>
      </c>
      <c r="I73" s="57">
        <v>3146</v>
      </c>
      <c r="J73" s="57">
        <v>3155</v>
      </c>
      <c r="K73" s="57">
        <v>3182</v>
      </c>
      <c r="L73" s="57">
        <v>3193</v>
      </c>
      <c r="M73" s="57">
        <v>3200</v>
      </c>
      <c r="N73" s="57">
        <v>6418</v>
      </c>
      <c r="O73" s="57">
        <v>5613</v>
      </c>
      <c r="P73" s="57">
        <v>5632</v>
      </c>
      <c r="Q73" s="57">
        <v>5665</v>
      </c>
    </row>
    <row r="74" spans="1:17" ht="15" customHeight="1">
      <c r="A74" s="67" t="s">
        <v>136</v>
      </c>
      <c r="B74" s="57">
        <v>187040</v>
      </c>
      <c r="C74" s="57">
        <v>229301</v>
      </c>
      <c r="D74" s="57">
        <v>287953</v>
      </c>
      <c r="E74" s="57">
        <v>368069</v>
      </c>
      <c r="F74" s="57">
        <v>426145</v>
      </c>
      <c r="G74" s="57">
        <v>3989787</v>
      </c>
      <c r="H74" s="57">
        <v>4051245</v>
      </c>
      <c r="I74" s="57">
        <v>4150628</v>
      </c>
      <c r="J74" s="57">
        <v>4238170</v>
      </c>
      <c r="K74" s="57">
        <v>4397511</v>
      </c>
      <c r="L74" s="57">
        <v>4537982</v>
      </c>
      <c r="M74" s="57">
        <v>4652620</v>
      </c>
      <c r="N74" s="57">
        <v>4776804</v>
      </c>
      <c r="O74" s="57">
        <v>4975115</v>
      </c>
      <c r="P74" s="57">
        <v>5144922</v>
      </c>
      <c r="Q74" s="57">
        <v>5430847</v>
      </c>
    </row>
    <row r="75" spans="1:17" ht="15" customHeight="1">
      <c r="A75" s="67" t="s">
        <v>183</v>
      </c>
      <c r="B75" s="61">
        <v>882425</v>
      </c>
      <c r="C75" s="61">
        <v>1168644</v>
      </c>
      <c r="D75" s="61">
        <v>1508664</v>
      </c>
      <c r="E75" s="61">
        <v>1847325</v>
      </c>
      <c r="F75" s="61">
        <v>2330510</v>
      </c>
      <c r="G75" s="61">
        <v>1394863</v>
      </c>
      <c r="H75" s="61">
        <v>2107548</v>
      </c>
      <c r="I75" s="61">
        <v>2928226</v>
      </c>
      <c r="J75" s="61">
        <v>3914645</v>
      </c>
      <c r="K75" s="61">
        <v>5022480</v>
      </c>
      <c r="L75" s="61">
        <v>6432074</v>
      </c>
      <c r="M75" s="61">
        <v>7809549</v>
      </c>
      <c r="N75" s="61">
        <v>9001173</v>
      </c>
      <c r="O75" s="61">
        <v>5939736</v>
      </c>
      <c r="P75" s="61">
        <v>7448784</v>
      </c>
      <c r="Q75" s="61">
        <v>9354216</v>
      </c>
    </row>
    <row r="76" spans="1:17" ht="15" customHeight="1">
      <c r="A76" s="67" t="s">
        <v>184</v>
      </c>
      <c r="B76" s="61">
        <v>281</v>
      </c>
      <c r="C76" s="83">
        <v>-1547</v>
      </c>
      <c r="D76" s="61">
        <v>2074</v>
      </c>
      <c r="E76" s="83">
        <v>-1233</v>
      </c>
      <c r="F76" s="83">
        <v>-11453</v>
      </c>
      <c r="G76" s="83">
        <v>-21878</v>
      </c>
      <c r="H76" s="83">
        <v>-23249</v>
      </c>
      <c r="I76" s="83">
        <v>-16659</v>
      </c>
      <c r="J76" s="83">
        <v>-32864</v>
      </c>
      <c r="K76" s="83">
        <v>-32387</v>
      </c>
      <c r="L76" s="61">
        <v>3034</v>
      </c>
      <c r="M76" s="83">
        <v>-69165</v>
      </c>
      <c r="N76" s="83">
        <v>-159073</v>
      </c>
      <c r="O76" s="83">
        <v>-125337</v>
      </c>
      <c r="P76" s="83">
        <v>-269487</v>
      </c>
      <c r="Q76" s="83">
        <v>-60841</v>
      </c>
    </row>
    <row r="77" spans="1:17" ht="15" customHeight="1">
      <c r="A77" s="67" t="s">
        <v>185</v>
      </c>
      <c r="B77" s="83">
        <v>-241842</v>
      </c>
      <c r="C77" s="83">
        <v>-418234</v>
      </c>
      <c r="D77" s="83">
        <v>-1155313</v>
      </c>
      <c r="E77" s="83">
        <v>-1222912</v>
      </c>
      <c r="F77" s="83">
        <v>-1231087</v>
      </c>
      <c r="G77" s="83">
        <v>-556467</v>
      </c>
      <c r="H77" s="83">
        <v>-2808951</v>
      </c>
      <c r="I77" s="83">
        <v>-3170129</v>
      </c>
      <c r="J77" s="83">
        <v>-4512205</v>
      </c>
      <c r="K77" s="83">
        <v>-5219505</v>
      </c>
      <c r="L77" s="83">
        <v>-5815423</v>
      </c>
      <c r="M77" s="83">
        <v>-5829253</v>
      </c>
      <c r="N77" s="83">
        <v>-6600281</v>
      </c>
      <c r="O77" s="83">
        <v>-2566383</v>
      </c>
      <c r="P77" s="83">
        <v>-6372133</v>
      </c>
      <c r="Q77" s="83">
        <v>-6475779</v>
      </c>
    </row>
    <row r="78" spans="1:17" ht="15" customHeight="1">
      <c r="A78" s="69" t="s">
        <v>186</v>
      </c>
      <c r="B78" s="81">
        <f t="shared" ref="B78:Q78" si="14">B77+B76+B75+B74+B73</f>
        <v>828398</v>
      </c>
      <c r="C78" s="81">
        <f t="shared" si="14"/>
        <v>979158</v>
      </c>
      <c r="D78" s="81">
        <f t="shared" si="14"/>
        <v>644397</v>
      </c>
      <c r="E78" s="81">
        <f t="shared" si="14"/>
        <v>992279</v>
      </c>
      <c r="F78" s="81">
        <f t="shared" si="14"/>
        <v>1515150</v>
      </c>
      <c r="G78" s="81">
        <f t="shared" si="14"/>
        <v>4809410</v>
      </c>
      <c r="H78" s="81">
        <f t="shared" si="14"/>
        <v>3329709</v>
      </c>
      <c r="I78" s="81">
        <f t="shared" si="14"/>
        <v>3895212</v>
      </c>
      <c r="J78" s="81">
        <f t="shared" si="14"/>
        <v>3610901</v>
      </c>
      <c r="K78" s="81">
        <f t="shared" si="14"/>
        <v>4171281</v>
      </c>
      <c r="L78" s="81">
        <f t="shared" si="14"/>
        <v>5160860</v>
      </c>
      <c r="M78" s="81">
        <f t="shared" si="14"/>
        <v>6566951</v>
      </c>
      <c r="N78" s="81">
        <f t="shared" si="14"/>
        <v>7025041</v>
      </c>
      <c r="O78" s="81">
        <f t="shared" si="14"/>
        <v>8228744</v>
      </c>
      <c r="P78" s="81">
        <f t="shared" si="14"/>
        <v>5957718</v>
      </c>
      <c r="Q78" s="81">
        <f t="shared" si="14"/>
        <v>8254108</v>
      </c>
    </row>
    <row r="79" spans="1:17" ht="15" customHeight="1">
      <c r="A79" s="69" t="s">
        <v>187</v>
      </c>
      <c r="B79" s="81">
        <f t="shared" ref="B79:Q79" si="15">B78+B70</f>
        <v>1082131</v>
      </c>
      <c r="C79" s="81">
        <f t="shared" si="15"/>
        <v>1362399</v>
      </c>
      <c r="D79" s="81">
        <f t="shared" si="15"/>
        <v>1043325</v>
      </c>
      <c r="E79" s="81">
        <f t="shared" si="15"/>
        <v>1420509</v>
      </c>
      <c r="F79" s="81">
        <f t="shared" si="15"/>
        <v>1938875</v>
      </c>
      <c r="G79" s="81">
        <f t="shared" si="15"/>
        <v>5571277</v>
      </c>
      <c r="H79" s="81">
        <f t="shared" si="15"/>
        <v>4153471</v>
      </c>
      <c r="I79" s="81">
        <f t="shared" si="15"/>
        <v>4791012</v>
      </c>
      <c r="J79" s="81">
        <f t="shared" si="15"/>
        <v>4526891</v>
      </c>
      <c r="K79" s="81">
        <f t="shared" si="15"/>
        <v>5028348</v>
      </c>
      <c r="L79" s="81">
        <f t="shared" si="15"/>
        <v>6202716</v>
      </c>
      <c r="M79" s="81">
        <f t="shared" si="15"/>
        <v>7804784</v>
      </c>
      <c r="N79" s="81">
        <f t="shared" si="15"/>
        <v>8293105</v>
      </c>
      <c r="O79" s="81">
        <f t="shared" si="15"/>
        <v>9686522</v>
      </c>
      <c r="P79" s="81">
        <f t="shared" si="15"/>
        <v>7719089</v>
      </c>
      <c r="Q79" s="81">
        <f t="shared" si="15"/>
        <v>9988945</v>
      </c>
    </row>
    <row r="80" spans="1:17" ht="1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27"/>
      <c r="P80" s="27"/>
      <c r="Q80" s="27"/>
    </row>
    <row r="81" spans="1:17" ht="15" customHeight="1">
      <c r="A81" s="47" t="s">
        <v>106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</row>
    <row r="82" spans="1:17" ht="15" customHeight="1">
      <c r="A82" s="47" t="s">
        <v>107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</row>
    <row r="83" spans="1:17" ht="15" customHeight="1">
      <c r="A83" s="47" t="s">
        <v>32</v>
      </c>
      <c r="B83" s="47">
        <v>2010</v>
      </c>
      <c r="C83" s="47">
        <f>B83+1</f>
        <v>2011</v>
      </c>
      <c r="D83" s="47">
        <f t="shared" ref="D83:N83" si="16">C83+1</f>
        <v>2012</v>
      </c>
      <c r="E83" s="47">
        <f t="shared" si="16"/>
        <v>2013</v>
      </c>
      <c r="F83" s="47">
        <f t="shared" si="16"/>
        <v>2014</v>
      </c>
      <c r="G83" s="47">
        <f t="shared" si="16"/>
        <v>2015</v>
      </c>
      <c r="H83" s="47">
        <f t="shared" si="16"/>
        <v>2016</v>
      </c>
      <c r="I83" s="47">
        <f t="shared" si="16"/>
        <v>2017</v>
      </c>
      <c r="J83" s="47">
        <f t="shared" si="16"/>
        <v>2018</v>
      </c>
      <c r="K83" s="47">
        <f t="shared" si="16"/>
        <v>2019</v>
      </c>
      <c r="L83" s="47">
        <f t="shared" si="16"/>
        <v>2020</v>
      </c>
      <c r="M83" s="47">
        <f t="shared" si="16"/>
        <v>2021</v>
      </c>
      <c r="N83" s="47">
        <f t="shared" si="16"/>
        <v>2022</v>
      </c>
      <c r="O83" s="48" t="s">
        <v>122</v>
      </c>
      <c r="P83" s="48" t="s">
        <v>123</v>
      </c>
      <c r="Q83" s="48" t="s">
        <v>108</v>
      </c>
    </row>
    <row r="84" spans="1:17" ht="15" customHeight="1">
      <c r="A84" s="67" t="s">
        <v>142</v>
      </c>
      <c r="B84" s="33">
        <f>B6/B$6</f>
        <v>1</v>
      </c>
      <c r="C84" s="33">
        <f t="shared" ref="C84:N84" si="17">C6/C$6</f>
        <v>1</v>
      </c>
      <c r="D84" s="33">
        <f t="shared" si="17"/>
        <v>1</v>
      </c>
      <c r="E84" s="33">
        <f t="shared" si="17"/>
        <v>1</v>
      </c>
      <c r="F84" s="33">
        <f t="shared" si="17"/>
        <v>1</v>
      </c>
      <c r="G84" s="33">
        <f t="shared" si="17"/>
        <v>1</v>
      </c>
      <c r="H84" s="33">
        <f t="shared" si="17"/>
        <v>1</v>
      </c>
      <c r="I84" s="33">
        <f t="shared" si="17"/>
        <v>1</v>
      </c>
      <c r="J84" s="33">
        <f t="shared" si="17"/>
        <v>1</v>
      </c>
      <c r="K84" s="33">
        <f t="shared" si="17"/>
        <v>1</v>
      </c>
      <c r="L84" s="33">
        <f t="shared" si="17"/>
        <v>1</v>
      </c>
      <c r="M84" s="33">
        <f t="shared" si="17"/>
        <v>1</v>
      </c>
      <c r="N84" s="33">
        <f t="shared" si="17"/>
        <v>1</v>
      </c>
      <c r="O84" s="33">
        <f>O6/$O$6</f>
        <v>1</v>
      </c>
      <c r="P84" s="33">
        <f>P6/$P$6</f>
        <v>1</v>
      </c>
      <c r="Q84" s="33">
        <f>Q6/$Q$6</f>
        <v>1</v>
      </c>
    </row>
    <row r="85" spans="1:17" ht="15" customHeight="1">
      <c r="A85" s="67" t="s">
        <v>109</v>
      </c>
      <c r="B85" s="33">
        <f t="shared" ref="B85:Q101" si="18">B7/B$6</f>
        <v>0.47832035473970469</v>
      </c>
      <c r="C85" s="33">
        <f t="shared" si="18"/>
        <v>0.47493350868643697</v>
      </c>
      <c r="D85" s="33">
        <f t="shared" si="18"/>
        <v>0.48286748884603403</v>
      </c>
      <c r="E85" s="33">
        <f t="shared" si="18"/>
        <v>0.47786842044347738</v>
      </c>
      <c r="F85" s="33">
        <f t="shared" si="18"/>
        <v>0.45643720330549276</v>
      </c>
      <c r="G85" s="33">
        <f t="shared" si="18"/>
        <v>0.40045449803934818</v>
      </c>
      <c r="H85" s="33">
        <f t="shared" si="18"/>
        <v>0.36315194532157713</v>
      </c>
      <c r="I85" s="33">
        <f t="shared" si="18"/>
        <v>0.36549081416247037</v>
      </c>
      <c r="J85" s="33">
        <f t="shared" si="18"/>
        <v>0.39709359912565273</v>
      </c>
      <c r="K85" s="33">
        <f t="shared" si="18"/>
        <v>0.40045381626773258</v>
      </c>
      <c r="L85" s="33">
        <f t="shared" si="18"/>
        <v>0.40767679473792023</v>
      </c>
      <c r="M85" s="33">
        <f t="shared" si="18"/>
        <v>0.43903347053210118</v>
      </c>
      <c r="N85" s="33">
        <f t="shared" si="18"/>
        <v>0.49698275247383555</v>
      </c>
      <c r="O85" s="33">
        <f>(O7/$O$6)</f>
        <v>0.46860060893327155</v>
      </c>
      <c r="P85" s="33">
        <f>(P7/$P$6)</f>
        <v>0.45962428275274003</v>
      </c>
      <c r="Q85" s="33">
        <f>(Q7/$Q$6)</f>
        <v>0.44152357817852483</v>
      </c>
    </row>
    <row r="86" spans="1:17" ht="15" customHeight="1">
      <c r="A86" s="69" t="s">
        <v>143</v>
      </c>
      <c r="B86" s="87">
        <f t="shared" si="18"/>
        <v>0.52167964526029531</v>
      </c>
      <c r="C86" s="87">
        <f t="shared" si="18"/>
        <v>0.52506649131356309</v>
      </c>
      <c r="D86" s="87">
        <f t="shared" si="18"/>
        <v>0.51713251115396597</v>
      </c>
      <c r="E86" s="87">
        <f t="shared" si="18"/>
        <v>0.52213157955652267</v>
      </c>
      <c r="F86" s="87">
        <f t="shared" si="18"/>
        <v>0.54356279669450724</v>
      </c>
      <c r="G86" s="87">
        <f t="shared" si="18"/>
        <v>0.59954550196065182</v>
      </c>
      <c r="H86" s="87">
        <f t="shared" si="18"/>
        <v>0.63684805467842287</v>
      </c>
      <c r="I86" s="87">
        <f t="shared" si="18"/>
        <v>0.63450918583752958</v>
      </c>
      <c r="J86" s="87">
        <f t="shared" si="18"/>
        <v>0.60290640087434721</v>
      </c>
      <c r="K86" s="87">
        <f t="shared" si="18"/>
        <v>0.59954618373226742</v>
      </c>
      <c r="L86" s="87">
        <f t="shared" si="18"/>
        <v>0.59232320526207982</v>
      </c>
      <c r="M86" s="87">
        <f t="shared" si="18"/>
        <v>0.56096652946789882</v>
      </c>
      <c r="N86" s="87">
        <f t="shared" si="18"/>
        <v>0.50301724752616439</v>
      </c>
      <c r="O86" s="87">
        <f>O8/$O$6</f>
        <v>0.53139939106672851</v>
      </c>
      <c r="P86" s="87">
        <f>P8/$P$6</f>
        <v>0.54037571724725997</v>
      </c>
      <c r="Q86" s="87">
        <f>Q8/$Q$6</f>
        <v>0.55847642182147517</v>
      </c>
    </row>
    <row r="87" spans="1:17" ht="15" customHeight="1">
      <c r="A87" s="68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 spans="1:17" ht="15" customHeight="1">
      <c r="A88" s="67" t="s">
        <v>144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</row>
    <row r="89" spans="1:17" ht="15" customHeight="1">
      <c r="A89" s="67" t="s">
        <v>145</v>
      </c>
      <c r="B89" s="33">
        <f t="shared" si="18"/>
        <v>3.6351310104283781E-2</v>
      </c>
      <c r="C89" s="33">
        <f t="shared" si="18"/>
        <v>3.5520745876951441E-2</v>
      </c>
      <c r="D89" s="33">
        <f t="shared" si="18"/>
        <v>3.6929162974559157E-2</v>
      </c>
      <c r="E89" s="33">
        <f t="shared" si="18"/>
        <v>3.7392696316107171E-2</v>
      </c>
      <c r="F89" s="33">
        <f t="shared" si="18"/>
        <v>3.7608520054023202E-2</v>
      </c>
      <c r="G89" s="33">
        <f t="shared" si="18"/>
        <v>3.1955171669059021E-2</v>
      </c>
      <c r="H89" s="33">
        <f t="shared" si="18"/>
        <v>2.7415292158144259E-2</v>
      </c>
      <c r="I89" s="33">
        <f t="shared" si="18"/>
        <v>2.727775972122664E-2</v>
      </c>
      <c r="J89" s="33">
        <f t="shared" si="18"/>
        <v>3.375198933174476E-2</v>
      </c>
      <c r="K89" s="33">
        <f t="shared" si="18"/>
        <v>2.9160980275512942E-2</v>
      </c>
      <c r="L89" s="33">
        <f t="shared" si="18"/>
        <v>2.9160808047948111E-2</v>
      </c>
      <c r="M89" s="33">
        <f t="shared" si="18"/>
        <v>3.8600688063129718E-2</v>
      </c>
      <c r="N89" s="33">
        <f t="shared" si="18"/>
        <v>3.9486297842672775E-2</v>
      </c>
      <c r="O89" s="33">
        <f>(O11/$O$6)</f>
        <v>3.1316408187251954E-2</v>
      </c>
      <c r="P89" s="33">
        <f>(P11/$P$6)</f>
        <v>2.9922421917093003E-2</v>
      </c>
      <c r="Q89" s="33">
        <f>(Q11/$Q$6)</f>
        <v>2.8573691731822521E-2</v>
      </c>
    </row>
    <row r="90" spans="1:17" ht="15" customHeight="1">
      <c r="A90" s="67" t="s">
        <v>146</v>
      </c>
      <c r="B90" s="33">
        <f t="shared" si="18"/>
        <v>8.0448363500830553E-2</v>
      </c>
      <c r="C90" s="33">
        <f t="shared" si="18"/>
        <v>8.7363421264303701E-2</v>
      </c>
      <c r="D90" s="33">
        <f t="shared" si="18"/>
        <v>8.0263910065599006E-2</v>
      </c>
      <c r="E90" s="33">
        <f t="shared" si="18"/>
        <v>8.0928478455574812E-2</v>
      </c>
      <c r="F90" s="33">
        <f t="shared" si="18"/>
        <v>6.9577790606957693E-2</v>
      </c>
      <c r="G90" s="33">
        <f t="shared" si="18"/>
        <v>7.702298274714571E-2</v>
      </c>
      <c r="H90" s="33">
        <f t="shared" si="18"/>
        <v>8.8738971985572207E-2</v>
      </c>
      <c r="I90" s="33">
        <f t="shared" si="18"/>
        <v>9.6169686068307197E-2</v>
      </c>
      <c r="J90" s="33">
        <f t="shared" si="18"/>
        <v>9.2955867894976424E-2</v>
      </c>
      <c r="K90" s="33">
        <f t="shared" si="18"/>
        <v>9.3219917354211174E-2</v>
      </c>
      <c r="L90" s="33">
        <f t="shared" si="18"/>
        <v>7.5174432081846848E-2</v>
      </c>
      <c r="M90" s="33">
        <f t="shared" si="18"/>
        <v>7.5360670103613706E-2</v>
      </c>
      <c r="N90" s="33">
        <f t="shared" si="18"/>
        <v>7.2998946292613748E-2</v>
      </c>
      <c r="O90" s="33">
        <f>(O12/$O$6)</f>
        <v>7.4075350135230575E-2</v>
      </c>
      <c r="P90" s="33">
        <f>(P12/$P$6)</f>
        <v>7.7955783415584401E-2</v>
      </c>
      <c r="Q90" s="33">
        <f>(Q12/$Q$6)</f>
        <v>7.2326403670549919E-2</v>
      </c>
    </row>
    <row r="91" spans="1:17" ht="15" customHeight="1">
      <c r="A91" s="67" t="s">
        <v>147</v>
      </c>
      <c r="B91" s="33">
        <f t="shared" si="18"/>
        <v>0.13813957982793712</v>
      </c>
      <c r="C91" s="33">
        <f t="shared" si="18"/>
        <v>0.13420735895915409</v>
      </c>
      <c r="D91" s="33">
        <f t="shared" si="18"/>
        <v>0.13273777576767529</v>
      </c>
      <c r="E91" s="33">
        <f t="shared" si="18"/>
        <v>0.1487761904677114</v>
      </c>
      <c r="F91" s="33">
        <f t="shared" si="18"/>
        <v>0.13311265881688544</v>
      </c>
      <c r="G91" s="33">
        <f t="shared" si="18"/>
        <v>0.22163592848506042</v>
      </c>
      <c r="H91" s="33">
        <f t="shared" si="18"/>
        <v>0.16477443215748183</v>
      </c>
      <c r="I91" s="33">
        <f t="shared" si="18"/>
        <v>0.15523776025550268</v>
      </c>
      <c r="J91" s="33">
        <f t="shared" si="18"/>
        <v>0.13904138571747143</v>
      </c>
      <c r="K91" s="33">
        <f t="shared" si="18"/>
        <v>0.14319731461888741</v>
      </c>
      <c r="L91" s="33">
        <f t="shared" si="18"/>
        <v>0.13284955241095298</v>
      </c>
      <c r="M91" s="33">
        <f t="shared" si="18"/>
        <v>0.12263180537890392</v>
      </c>
      <c r="N91" s="33">
        <f t="shared" si="18"/>
        <v>0.13942941348903906</v>
      </c>
      <c r="O91" s="33">
        <f>(O13/$O$6)</f>
        <v>0.15242953563060757</v>
      </c>
      <c r="P91" s="33">
        <f t="shared" ref="P91:P93" si="19">(P13/$P$6)</f>
        <v>0.17487453469766409</v>
      </c>
      <c r="Q91" s="33">
        <f t="shared" ref="Q91:Q93" si="20">(Q13/$Q$6)</f>
        <v>0.16588908850285067</v>
      </c>
    </row>
    <row r="92" spans="1:17" ht="15" customHeight="1">
      <c r="A92" s="67" t="s">
        <v>148</v>
      </c>
      <c r="B92" s="33">
        <f t="shared" si="18"/>
        <v>0.25493925343305146</v>
      </c>
      <c r="C92" s="33">
        <f t="shared" si="18"/>
        <v>0.2570915261004092</v>
      </c>
      <c r="D92" s="33">
        <f t="shared" si="18"/>
        <v>0.24993084880783345</v>
      </c>
      <c r="E92" s="33">
        <f t="shared" si="18"/>
        <v>0.26709736523939337</v>
      </c>
      <c r="F92" s="33">
        <f t="shared" si="18"/>
        <v>0.24029896947786636</v>
      </c>
      <c r="G92" s="33">
        <f t="shared" si="18"/>
        <v>0.33061408290126515</v>
      </c>
      <c r="H92" s="33">
        <f t="shared" si="18"/>
        <v>0.28092869630119832</v>
      </c>
      <c r="I92" s="33">
        <f t="shared" si="18"/>
        <v>0.27868520604503649</v>
      </c>
      <c r="J92" s="33">
        <f t="shared" si="18"/>
        <v>0.26574924294419261</v>
      </c>
      <c r="K92" s="33">
        <f t="shared" si="18"/>
        <v>0.2655782122486115</v>
      </c>
      <c r="L92" s="33">
        <f t="shared" si="18"/>
        <v>0.23718479254074792</v>
      </c>
      <c r="M92" s="33">
        <f t="shared" si="18"/>
        <v>0.23659316354564736</v>
      </c>
      <c r="N92" s="33">
        <f t="shared" si="18"/>
        <v>0.25191465762432558</v>
      </c>
      <c r="O92" s="33">
        <f t="shared" ref="O92:O93" si="21">(O14/$O$6)</f>
        <v>0.25782129395309011</v>
      </c>
      <c r="P92" s="33">
        <f t="shared" si="19"/>
        <v>0.28275274003034151</v>
      </c>
      <c r="Q92" s="33">
        <f t="shared" si="20"/>
        <v>0.2667891839052231</v>
      </c>
    </row>
    <row r="93" spans="1:17" ht="15" customHeight="1">
      <c r="A93" s="69" t="s">
        <v>149</v>
      </c>
      <c r="B93" s="87">
        <f t="shared" si="18"/>
        <v>0.26674039182724385</v>
      </c>
      <c r="C93" s="87">
        <f t="shared" si="18"/>
        <v>0.26797496521315384</v>
      </c>
      <c r="D93" s="87">
        <f t="shared" si="18"/>
        <v>0.26720166234613252</v>
      </c>
      <c r="E93" s="87">
        <f t="shared" si="18"/>
        <v>0.25503421431712925</v>
      </c>
      <c r="F93" s="87">
        <f t="shared" si="18"/>
        <v>0.30326382721664091</v>
      </c>
      <c r="G93" s="87">
        <f t="shared" si="18"/>
        <v>0.26893141905938667</v>
      </c>
      <c r="H93" s="87">
        <f t="shared" si="18"/>
        <v>0.3559193583772246</v>
      </c>
      <c r="I93" s="87">
        <f t="shared" si="18"/>
        <v>0.35582397979249314</v>
      </c>
      <c r="J93" s="87">
        <f t="shared" si="18"/>
        <v>0.33715715793015466</v>
      </c>
      <c r="K93" s="87">
        <f t="shared" si="18"/>
        <v>0.33396797148365592</v>
      </c>
      <c r="L93" s="87">
        <f t="shared" si="18"/>
        <v>0.35513841272133184</v>
      </c>
      <c r="M93" s="87">
        <f t="shared" si="18"/>
        <v>0.32437336592225147</v>
      </c>
      <c r="N93" s="87">
        <f t="shared" si="18"/>
        <v>0.25110258990183881</v>
      </c>
      <c r="O93" s="87">
        <f t="shared" si="21"/>
        <v>0.27357809711363834</v>
      </c>
      <c r="P93" s="87">
        <f t="shared" si="19"/>
        <v>0.25762297721691846</v>
      </c>
      <c r="Q93" s="87">
        <f t="shared" si="20"/>
        <v>0.29168723791625206</v>
      </c>
    </row>
    <row r="94" spans="1:17" ht="15" customHeight="1">
      <c r="A94" s="68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 spans="1:17" ht="15" customHeight="1">
      <c r="A95" s="67" t="s">
        <v>150</v>
      </c>
      <c r="B95" s="57">
        <v>0</v>
      </c>
      <c r="C95" s="57">
        <v>0</v>
      </c>
      <c r="D95" s="57">
        <v>0</v>
      </c>
      <c r="E95" s="57">
        <v>0</v>
      </c>
      <c r="F95" s="57">
        <v>0</v>
      </c>
      <c r="G95" s="57">
        <v>0</v>
      </c>
      <c r="H95" s="57">
        <v>0</v>
      </c>
      <c r="I95" s="57">
        <v>0</v>
      </c>
      <c r="J95" s="57">
        <v>0</v>
      </c>
      <c r="K95" s="57">
        <v>0</v>
      </c>
      <c r="L95" s="57">
        <v>0</v>
      </c>
      <c r="M95" s="57">
        <v>0</v>
      </c>
      <c r="N95" s="57">
        <v>0</v>
      </c>
      <c r="O95" s="57">
        <v>0</v>
      </c>
      <c r="P95" s="57">
        <v>0</v>
      </c>
      <c r="Q95" s="57">
        <v>0</v>
      </c>
    </row>
    <row r="96" spans="1:17" ht="15" customHeight="1">
      <c r="A96" s="67" t="s">
        <v>151</v>
      </c>
      <c r="B96" s="57">
        <v>0</v>
      </c>
      <c r="C96" s="57">
        <v>0</v>
      </c>
      <c r="D96" s="57">
        <v>0</v>
      </c>
      <c r="E96" s="57">
        <v>0</v>
      </c>
      <c r="F96" s="57">
        <v>0</v>
      </c>
      <c r="G96" s="57">
        <v>0</v>
      </c>
      <c r="H96" s="57">
        <v>0</v>
      </c>
      <c r="I96" s="57">
        <v>0</v>
      </c>
      <c r="J96" s="57">
        <v>0</v>
      </c>
      <c r="K96" s="57">
        <v>0</v>
      </c>
      <c r="L96" s="57">
        <v>0</v>
      </c>
      <c r="M96" s="57">
        <v>0</v>
      </c>
      <c r="N96" s="57">
        <v>0</v>
      </c>
      <c r="O96" s="57">
        <v>0</v>
      </c>
      <c r="P96" s="57">
        <v>0</v>
      </c>
      <c r="Q96" s="57">
        <v>0</v>
      </c>
    </row>
    <row r="97" spans="1:17" ht="15" customHeight="1">
      <c r="A97" s="67" t="s">
        <v>152</v>
      </c>
      <c r="B97" s="57">
        <v>0</v>
      </c>
      <c r="C97" s="57">
        <v>0</v>
      </c>
      <c r="D97" s="57">
        <v>0</v>
      </c>
      <c r="E97" s="57">
        <v>0</v>
      </c>
      <c r="F97" s="57">
        <v>0</v>
      </c>
      <c r="G97" s="86">
        <f>-G19/G$6</f>
        <v>7.731682340617154E-4</v>
      </c>
      <c r="H97" s="86">
        <f>-H19/H$6</f>
        <v>1.8538115618419798E-3</v>
      </c>
      <c r="I97" s="86">
        <f>I19/I$6</f>
        <v>8.4178157311641728E-4</v>
      </c>
      <c r="J97" s="86">
        <f t="shared" si="18"/>
        <v>2.5354704515123125E-3</v>
      </c>
      <c r="K97" s="86">
        <f t="shared" si="18"/>
        <v>3.1001097643102451E-3</v>
      </c>
      <c r="L97" s="86">
        <f>-L19/L$6</f>
        <v>1.5213200082285234E-3</v>
      </c>
      <c r="M97" s="86">
        <f t="shared" si="18"/>
        <v>7.1318335308783853E-4</v>
      </c>
      <c r="N97" s="86">
        <f>-N19/N$6</f>
        <v>2.0213752069782368E-3</v>
      </c>
      <c r="O97" s="86">
        <f>O19/$O$6</f>
        <v>1.6124168718129498E-2</v>
      </c>
      <c r="P97" s="86">
        <f>P19/$P$6</f>
        <v>7.8963429648742523E-3</v>
      </c>
      <c r="Q97" s="86">
        <f>Q19/$Q$6</f>
        <v>7.6166370259826491E-3</v>
      </c>
    </row>
    <row r="98" spans="1:17" ht="30" customHeight="1">
      <c r="A98" s="69" t="s">
        <v>153</v>
      </c>
      <c r="B98" s="87">
        <f t="shared" si="18"/>
        <v>0.26674039182724385</v>
      </c>
      <c r="C98" s="87">
        <f t="shared" si="18"/>
        <v>0.26797496521315384</v>
      </c>
      <c r="D98" s="87">
        <f t="shared" si="18"/>
        <v>0.26720166234613252</v>
      </c>
      <c r="E98" s="87">
        <f t="shared" si="18"/>
        <v>0.25503421431712925</v>
      </c>
      <c r="F98" s="87">
        <f t="shared" si="18"/>
        <v>0.30326382721664091</v>
      </c>
      <c r="G98" s="87">
        <f t="shared" si="18"/>
        <v>0.26970458729344837</v>
      </c>
      <c r="H98" s="87">
        <f t="shared" si="18"/>
        <v>0.35777316993906655</v>
      </c>
      <c r="I98" s="87">
        <f t="shared" si="18"/>
        <v>0.35498219821937671</v>
      </c>
      <c r="J98" s="87">
        <f t="shared" si="18"/>
        <v>0.33462168747864235</v>
      </c>
      <c r="K98" s="87">
        <f t="shared" si="18"/>
        <v>0.33086786171934568</v>
      </c>
      <c r="L98" s="87">
        <f t="shared" si="18"/>
        <v>0.35665973272956036</v>
      </c>
      <c r="M98" s="87">
        <f t="shared" si="18"/>
        <v>0.32366018256916362</v>
      </c>
      <c r="N98" s="87">
        <f t="shared" si="18"/>
        <v>0.25312396510881707</v>
      </c>
      <c r="O98" s="87">
        <f>O20/$O$6</f>
        <v>0.25745392839550885</v>
      </c>
      <c r="P98" s="87">
        <f>P20/$P$6</f>
        <v>0.24972663425204422</v>
      </c>
      <c r="Q98" s="87">
        <f>Q20/$Q$6</f>
        <v>0.28407060089026942</v>
      </c>
    </row>
    <row r="99" spans="1:17" ht="30" customHeight="1">
      <c r="A99" s="68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spans="1:17" ht="15" customHeight="1">
      <c r="A100" s="67" t="s">
        <v>154</v>
      </c>
      <c r="B100" s="33">
        <f t="shared" si="18"/>
        <v>0.10527538801572463</v>
      </c>
      <c r="C100" s="33">
        <f t="shared" si="18"/>
        <v>0.10042742319005654</v>
      </c>
      <c r="D100" s="33">
        <f t="shared" si="18"/>
        <v>0.10148677489515709</v>
      </c>
      <c r="E100" s="33">
        <f t="shared" si="18"/>
        <v>0.10026272820673532</v>
      </c>
      <c r="F100" s="33">
        <f t="shared" si="18"/>
        <v>0.10653840552046014</v>
      </c>
      <c r="G100" s="33">
        <f t="shared" si="18"/>
        <v>0.12665083355248949</v>
      </c>
      <c r="H100" s="33">
        <f t="shared" si="18"/>
        <v>0.12035182083778641</v>
      </c>
      <c r="I100" s="33">
        <f t="shared" si="18"/>
        <v>0.11307210203484964</v>
      </c>
      <c r="J100" s="33">
        <f t="shared" si="18"/>
        <v>7.8868811927348903E-2</v>
      </c>
      <c r="K100" s="33">
        <f t="shared" si="18"/>
        <v>7.3349268321248787E-2</v>
      </c>
      <c r="L100" s="33">
        <f t="shared" si="18"/>
        <v>4.7092856624069999E-2</v>
      </c>
      <c r="M100" s="33">
        <f t="shared" si="18"/>
        <v>7.650551706514945E-2</v>
      </c>
      <c r="N100" s="33">
        <f t="shared" si="18"/>
        <v>6.0265724404021517E-2</v>
      </c>
      <c r="O100" s="33">
        <f>(O22/$O$6)</f>
        <v>6.1273437761509862E-2</v>
      </c>
      <c r="P100" s="33">
        <f>(P22/$P$6)</f>
        <v>6.4117130399699226E-2</v>
      </c>
      <c r="Q100" s="33">
        <f>(Q22/$Q$6)</f>
        <v>6.9577180495188101E-2</v>
      </c>
    </row>
    <row r="101" spans="1:17" ht="15" customHeight="1">
      <c r="A101" s="69" t="s">
        <v>155</v>
      </c>
      <c r="B101" s="87">
        <f t="shared" si="18"/>
        <v>0.16146500381151924</v>
      </c>
      <c r="C101" s="87">
        <f t="shared" si="18"/>
        <v>0.1675475420230973</v>
      </c>
      <c r="D101" s="87">
        <f t="shared" si="18"/>
        <v>0.16571488745097546</v>
      </c>
      <c r="E101" s="87">
        <f t="shared" si="18"/>
        <v>0.15477148611039393</v>
      </c>
      <c r="F101" s="87">
        <f t="shared" si="18"/>
        <v>0.19672542169618076</v>
      </c>
      <c r="G101" s="87">
        <f t="shared" si="18"/>
        <v>0.14305375374095888</v>
      </c>
      <c r="H101" s="87">
        <f t="shared" si="18"/>
        <v>0.23742134910128015</v>
      </c>
      <c r="I101" s="87">
        <f t="shared" si="18"/>
        <v>0.24191009618452708</v>
      </c>
      <c r="J101" s="87">
        <f t="shared" si="18"/>
        <v>0.25575287555129345</v>
      </c>
      <c r="K101" s="87">
        <f t="shared" si="18"/>
        <v>0.25751859339809691</v>
      </c>
      <c r="L101" s="87">
        <f t="shared" si="18"/>
        <v>0.30956687610549039</v>
      </c>
      <c r="M101" s="87">
        <f t="shared" si="18"/>
        <v>0.24715466550401419</v>
      </c>
      <c r="N101" s="87">
        <f t="shared" si="18"/>
        <v>0.19285824070479557</v>
      </c>
      <c r="O101" s="87">
        <f t="shared" si="18"/>
        <v>0.19618049063399901</v>
      </c>
      <c r="P101" s="87">
        <f t="shared" si="18"/>
        <v>0.18560950385234498</v>
      </c>
      <c r="Q101" s="87">
        <f t="shared" si="18"/>
        <v>0.21449342039508132</v>
      </c>
    </row>
    <row r="102" spans="1:17" ht="15" customHeight="1">
      <c r="A102" s="4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4" spans="1:17" ht="15" customHeight="1">
      <c r="O104" s="49"/>
      <c r="P104" s="49"/>
      <c r="Q104" s="49"/>
    </row>
    <row r="105" spans="1:17" ht="1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7"/>
      <c r="P105" s="7"/>
      <c r="Q105" s="7"/>
    </row>
    <row r="106" spans="1:17" ht="15" customHeight="1">
      <c r="A106" s="47" t="s">
        <v>106</v>
      </c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</row>
    <row r="107" spans="1:17" ht="15" customHeight="1">
      <c r="A107" s="47" t="s">
        <v>137</v>
      </c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</row>
    <row r="108" spans="1:17" ht="15" customHeight="1">
      <c r="A108" s="47"/>
      <c r="B108" s="47">
        <v>2010</v>
      </c>
      <c r="C108" s="47">
        <f>B108+1</f>
        <v>2011</v>
      </c>
      <c r="D108" s="47">
        <f t="shared" ref="D108:N108" si="22">C108+1</f>
        <v>2012</v>
      </c>
      <c r="E108" s="47">
        <f t="shared" si="22"/>
        <v>2013</v>
      </c>
      <c r="F108" s="47">
        <f t="shared" si="22"/>
        <v>2014</v>
      </c>
      <c r="G108" s="47">
        <f t="shared" si="22"/>
        <v>2015</v>
      </c>
      <c r="H108" s="47">
        <f t="shared" si="22"/>
        <v>2016</v>
      </c>
      <c r="I108" s="47">
        <f t="shared" si="22"/>
        <v>2017</v>
      </c>
      <c r="J108" s="47">
        <f t="shared" si="22"/>
        <v>2018</v>
      </c>
      <c r="K108" s="47">
        <f t="shared" si="22"/>
        <v>2019</v>
      </c>
      <c r="L108" s="47">
        <f t="shared" si="22"/>
        <v>2020</v>
      </c>
      <c r="M108" s="47">
        <f t="shared" si="22"/>
        <v>2021</v>
      </c>
      <c r="N108" s="47">
        <f t="shared" si="22"/>
        <v>2022</v>
      </c>
      <c r="O108" s="47">
        <v>2023</v>
      </c>
      <c r="P108" s="47">
        <f>O108+1</f>
        <v>2024</v>
      </c>
      <c r="Q108" s="47">
        <f t="shared" ref="Q108" si="23">P108+1</f>
        <v>2025</v>
      </c>
    </row>
    <row r="109" spans="1:17" ht="15" customHeight="1">
      <c r="A109" s="70" t="s">
        <v>189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9"/>
      <c r="P109" s="29"/>
      <c r="Q109" s="29"/>
    </row>
    <row r="110" spans="1:17" ht="15" customHeight="1">
      <c r="A110" s="67" t="s">
        <v>124</v>
      </c>
      <c r="B110" s="34">
        <f t="shared" ref="B110:N110" si="24">B31/B$49</f>
        <v>0.32791039162541319</v>
      </c>
      <c r="C110" s="34">
        <f t="shared" si="24"/>
        <v>0.26374872559360363</v>
      </c>
      <c r="D110" s="34">
        <f t="shared" si="24"/>
        <v>0.2132739079385618</v>
      </c>
      <c r="E110" s="34">
        <f t="shared" si="24"/>
        <v>0.14878399221687438</v>
      </c>
      <c r="F110" s="34">
        <f t="shared" si="24"/>
        <v>0.19099890400361033</v>
      </c>
      <c r="G110" s="34">
        <f t="shared" si="24"/>
        <v>0.3904700843271659</v>
      </c>
      <c r="H110" s="34">
        <f t="shared" si="24"/>
        <v>9.0907580671684002E-2</v>
      </c>
      <c r="I110" s="34">
        <f t="shared" si="24"/>
        <v>0.11033618784507324</v>
      </c>
      <c r="J110" s="34">
        <f t="shared" si="24"/>
        <v>0.14082799873025439</v>
      </c>
      <c r="K110" s="34">
        <f t="shared" si="24"/>
        <v>0.15885083739605957</v>
      </c>
      <c r="L110" s="34">
        <f t="shared" si="24"/>
        <v>0.1903058273182264</v>
      </c>
      <c r="M110" s="34">
        <f t="shared" si="24"/>
        <v>0.16995499170765008</v>
      </c>
      <c r="N110" s="34">
        <f t="shared" si="24"/>
        <v>0.15761780418793683</v>
      </c>
      <c r="O110" s="34">
        <f>O31/O$49</f>
        <v>0.23720330165977013</v>
      </c>
      <c r="P110" s="34">
        <f t="shared" ref="P110:Q110" si="25">P31/P$49</f>
        <v>0.19863574574668072</v>
      </c>
      <c r="Q110" s="34">
        <f t="shared" si="25"/>
        <v>0.21865225401821686</v>
      </c>
    </row>
    <row r="111" spans="1:17" ht="15" customHeight="1">
      <c r="A111" s="67" t="s">
        <v>125</v>
      </c>
      <c r="B111" s="34">
        <f t="shared" ref="B111:Q111" si="26">B32/B$49</f>
        <v>0.2260807610169194</v>
      </c>
      <c r="C111" s="34">
        <f t="shared" si="26"/>
        <v>0.30188072657129078</v>
      </c>
      <c r="D111" s="34">
        <f t="shared" si="26"/>
        <v>9.3012244506745265E-2</v>
      </c>
      <c r="E111" s="34">
        <f t="shared" si="26"/>
        <v>0.28317103235530361</v>
      </c>
      <c r="F111" s="34">
        <f t="shared" si="26"/>
        <v>0.40288002063052025</v>
      </c>
      <c r="G111" s="34">
        <f t="shared" si="26"/>
        <v>0.13365158472644603</v>
      </c>
      <c r="H111" s="34">
        <f t="shared" si="26"/>
        <v>5.3101129151979155E-2</v>
      </c>
      <c r="I111" s="34">
        <f t="shared" si="26"/>
        <v>0.14045738144675907</v>
      </c>
      <c r="J111" s="34">
        <f t="shared" si="26"/>
        <v>7.0832277605093655E-2</v>
      </c>
      <c r="K111" s="34">
        <f t="shared" si="26"/>
        <v>0.10611787845066301</v>
      </c>
      <c r="L111" s="34">
        <f t="shared" si="26"/>
        <v>0.14209162566849748</v>
      </c>
      <c r="M111" s="34">
        <f t="shared" si="26"/>
        <v>0.22418647332200353</v>
      </c>
      <c r="N111" s="34">
        <f t="shared" si="26"/>
        <v>0.16427068028199329</v>
      </c>
      <c r="O111" s="34">
        <f t="shared" si="26"/>
        <v>9.8653056277578269E-2</v>
      </c>
      <c r="P111" s="34">
        <f t="shared" si="26"/>
        <v>0</v>
      </c>
      <c r="Q111" s="34">
        <f t="shared" si="26"/>
        <v>7.089925648786459E-2</v>
      </c>
    </row>
    <row r="112" spans="1:17" ht="15" customHeight="1">
      <c r="A112" s="67" t="s">
        <v>126</v>
      </c>
      <c r="B112" s="34">
        <f t="shared" ref="B112:Q112" si="27">B33/B$49</f>
        <v>9.3921161116352819E-2</v>
      </c>
      <c r="C112" s="34">
        <f t="shared" si="27"/>
        <v>0.16055575495871621</v>
      </c>
      <c r="D112" s="34">
        <f t="shared" si="27"/>
        <v>0.22688040639302232</v>
      </c>
      <c r="E112" s="34">
        <f t="shared" si="27"/>
        <v>0.20850272683946389</v>
      </c>
      <c r="F112" s="34">
        <f t="shared" si="27"/>
        <v>0.14480304300174071</v>
      </c>
      <c r="G112" s="34">
        <f t="shared" si="27"/>
        <v>8.5789128776041834E-2</v>
      </c>
      <c r="H112" s="34">
        <f t="shared" si="27"/>
        <v>0.1379691828834245</v>
      </c>
      <c r="I112" s="34">
        <f t="shared" si="27"/>
        <v>9.3816504738456097E-2</v>
      </c>
      <c r="J112" s="34">
        <f t="shared" si="27"/>
        <v>0.10704079245557271</v>
      </c>
      <c r="K112" s="34">
        <f t="shared" si="27"/>
        <v>0.10756453414183079</v>
      </c>
      <c r="L112" s="34">
        <f t="shared" si="27"/>
        <v>0.10737425347218864</v>
      </c>
      <c r="M112" s="34">
        <f t="shared" si="27"/>
        <v>0.11488569062257201</v>
      </c>
      <c r="N112" s="34">
        <f t="shared" si="27"/>
        <v>0.12253588975419942</v>
      </c>
      <c r="O112" s="34">
        <f t="shared" si="27"/>
        <v>0.12326034050198822</v>
      </c>
      <c r="P112" s="34">
        <f t="shared" si="27"/>
        <v>0.15826297636936171</v>
      </c>
      <c r="Q112" s="34">
        <f t="shared" si="27"/>
        <v>0.1694325988264854</v>
      </c>
    </row>
    <row r="113" spans="1:17" ht="15" customHeight="1">
      <c r="A113" s="67" t="s">
        <v>127</v>
      </c>
      <c r="B113" s="34">
        <f t="shared" ref="B113:Q113" si="28">B34/B$49</f>
        <v>0.14161039652315663</v>
      </c>
      <c r="C113" s="34">
        <f t="shared" si="28"/>
        <v>0.11421984308561589</v>
      </c>
      <c r="D113" s="34">
        <f t="shared" si="28"/>
        <v>0.19467184242685645</v>
      </c>
      <c r="E113" s="34">
        <f t="shared" si="28"/>
        <v>0.15589411964302938</v>
      </c>
      <c r="F113" s="34">
        <f t="shared" si="28"/>
        <v>9.0038295403262206E-2</v>
      </c>
      <c r="G113" s="34">
        <f t="shared" si="28"/>
        <v>2.8022480303887241E-2</v>
      </c>
      <c r="H113" s="34">
        <f t="shared" si="28"/>
        <v>3.8996540483850733E-2</v>
      </c>
      <c r="I113" s="34">
        <f t="shared" si="28"/>
        <v>5.3380162687966554E-2</v>
      </c>
      <c r="J113" s="34">
        <f t="shared" si="28"/>
        <v>6.134563434374718E-2</v>
      </c>
      <c r="K113" s="34">
        <f t="shared" si="28"/>
        <v>7.1811415182419555E-2</v>
      </c>
      <c r="L113" s="34">
        <f t="shared" si="28"/>
        <v>5.36998630922325E-2</v>
      </c>
      <c r="M113" s="34">
        <f t="shared" si="28"/>
        <v>7.6024781723619775E-2</v>
      </c>
      <c r="N113" s="34">
        <f t="shared" si="28"/>
        <v>0.11282034895253346</v>
      </c>
      <c r="O113" s="34">
        <f t="shared" si="28"/>
        <v>0.10028429192645204</v>
      </c>
      <c r="P113" s="34">
        <f t="shared" si="28"/>
        <v>9.5491449833004907E-2</v>
      </c>
      <c r="Q113" s="34">
        <f t="shared" si="28"/>
        <v>8.3730639286404271E-2</v>
      </c>
    </row>
    <row r="114" spans="1:17" ht="15" customHeight="1">
      <c r="A114" s="67" t="s">
        <v>128</v>
      </c>
      <c r="B114" s="34">
        <f t="shared" ref="B114:Q114" si="29">B35/B$49</f>
        <v>1.573007334601818E-2</v>
      </c>
      <c r="C114" s="34">
        <f t="shared" si="29"/>
        <v>1.5349394707424184E-2</v>
      </c>
      <c r="D114" s="34">
        <f t="shared" si="29"/>
        <v>2.394555867059641E-2</v>
      </c>
      <c r="E114" s="34">
        <f t="shared" si="29"/>
        <v>1.504812711499892E-2</v>
      </c>
      <c r="F114" s="34">
        <f t="shared" si="29"/>
        <v>1.0146605634710851E-2</v>
      </c>
      <c r="G114" s="34">
        <f t="shared" si="29"/>
        <v>4.8403624519118326E-3</v>
      </c>
      <c r="H114" s="34">
        <f t="shared" si="29"/>
        <v>7.8397080417799952E-3</v>
      </c>
      <c r="I114" s="34">
        <f t="shared" si="29"/>
        <v>8.5320178701284825E-3</v>
      </c>
      <c r="J114" s="34">
        <f t="shared" si="29"/>
        <v>9.9204951035931719E-3</v>
      </c>
      <c r="K114" s="34">
        <f t="shared" si="29"/>
        <v>1.0922678472959064E-2</v>
      </c>
      <c r="L114" s="34">
        <f t="shared" si="29"/>
        <v>8.9248000392086312E-3</v>
      </c>
      <c r="M114" s="34">
        <f t="shared" si="29"/>
        <v>1.0591965133179854E-2</v>
      </c>
      <c r="N114" s="34">
        <f t="shared" si="29"/>
        <v>1.3242687750848445E-2</v>
      </c>
      <c r="O114" s="34">
        <f t="shared" si="29"/>
        <v>1.1995533587803755E-2</v>
      </c>
      <c r="P114" s="34">
        <f t="shared" si="29"/>
        <v>1.3895681213158702E-2</v>
      </c>
      <c r="Q114" s="34">
        <f t="shared" si="29"/>
        <v>1.084309909638223E-2</v>
      </c>
    </row>
    <row r="115" spans="1:17" ht="15" customHeight="1">
      <c r="A115" s="67" t="s">
        <v>157</v>
      </c>
      <c r="B115" s="34">
        <f t="shared" ref="B115:Q115" si="30">B36/B$49</f>
        <v>0</v>
      </c>
      <c r="C115" s="34">
        <f t="shared" si="30"/>
        <v>0</v>
      </c>
      <c r="D115" s="34">
        <f t="shared" si="30"/>
        <v>0</v>
      </c>
      <c r="E115" s="34">
        <f t="shared" si="30"/>
        <v>0</v>
      </c>
      <c r="F115" s="34">
        <f t="shared" si="30"/>
        <v>9.3244794017149114E-3</v>
      </c>
      <c r="G115" s="34">
        <f t="shared" si="30"/>
        <v>0</v>
      </c>
      <c r="H115" s="34">
        <f t="shared" si="30"/>
        <v>0</v>
      </c>
      <c r="I115" s="34">
        <f t="shared" si="30"/>
        <v>0</v>
      </c>
      <c r="J115" s="34">
        <f t="shared" si="30"/>
        <v>0</v>
      </c>
      <c r="K115" s="34">
        <f t="shared" si="30"/>
        <v>0</v>
      </c>
      <c r="L115" s="34">
        <f t="shared" si="30"/>
        <v>0</v>
      </c>
      <c r="M115" s="34">
        <f t="shared" si="30"/>
        <v>0</v>
      </c>
      <c r="N115" s="34">
        <f t="shared" si="30"/>
        <v>0</v>
      </c>
      <c r="O115" s="34">
        <f t="shared" si="30"/>
        <v>0</v>
      </c>
      <c r="P115" s="34">
        <f t="shared" si="30"/>
        <v>0</v>
      </c>
      <c r="Q115" s="34">
        <f t="shared" si="30"/>
        <v>0</v>
      </c>
    </row>
    <row r="116" spans="1:17" ht="15" customHeight="1">
      <c r="A116" s="67" t="s">
        <v>158</v>
      </c>
      <c r="B116" s="34">
        <f t="shared" ref="B116:Q116" si="31">B37/B$49</f>
        <v>9.2336325269306574E-3</v>
      </c>
      <c r="C116" s="34">
        <f t="shared" si="31"/>
        <v>2.7157976481192368E-4</v>
      </c>
      <c r="D116" s="34">
        <f t="shared" si="31"/>
        <v>3.2309203747633769E-2</v>
      </c>
      <c r="E116" s="34">
        <f t="shared" si="31"/>
        <v>6.700415132885466E-3</v>
      </c>
      <c r="F116" s="34">
        <f t="shared" si="31"/>
        <v>4.4443298304429118E-3</v>
      </c>
      <c r="G116" s="34">
        <f t="shared" si="31"/>
        <v>3.313782459568964E-3</v>
      </c>
      <c r="H116" s="34">
        <f t="shared" si="31"/>
        <v>1.6022743387398154E-2</v>
      </c>
      <c r="I116" s="34">
        <f t="shared" si="31"/>
        <v>2.8955051667580878E-2</v>
      </c>
      <c r="J116" s="34">
        <f t="shared" si="31"/>
        <v>8.5778517750924425E-3</v>
      </c>
      <c r="K116" s="34">
        <f t="shared" si="31"/>
        <v>0</v>
      </c>
      <c r="L116" s="34">
        <f t="shared" si="31"/>
        <v>3.987446789438691E-3</v>
      </c>
      <c r="M116" s="34">
        <f t="shared" si="31"/>
        <v>4.2586700669743072E-3</v>
      </c>
      <c r="N116" s="34">
        <f t="shared" si="31"/>
        <v>4.0738661816050806E-3</v>
      </c>
      <c r="O116" s="34">
        <f t="shared" si="31"/>
        <v>5.5903450175408672E-3</v>
      </c>
      <c r="P116" s="34">
        <f t="shared" si="31"/>
        <v>5.4672254718140965E-3</v>
      </c>
      <c r="Q116" s="34">
        <f t="shared" si="31"/>
        <v>7.8154376805311451E-3</v>
      </c>
    </row>
    <row r="117" spans="1:17" ht="15" customHeight="1">
      <c r="A117" s="67" t="s">
        <v>159</v>
      </c>
      <c r="B117" s="34">
        <f t="shared" ref="B117:Q117" si="32">B38/B$49</f>
        <v>1.549904771233797E-2</v>
      </c>
      <c r="C117" s="34">
        <f t="shared" si="32"/>
        <v>1.2058141557649411E-2</v>
      </c>
      <c r="D117" s="34">
        <f t="shared" si="32"/>
        <v>1.6297893753144992E-2</v>
      </c>
      <c r="E117" s="34">
        <f t="shared" si="32"/>
        <v>1.4729931313353171E-2</v>
      </c>
      <c r="F117" s="34">
        <f t="shared" si="32"/>
        <v>2.0772355102830251E-2</v>
      </c>
      <c r="G117" s="34">
        <f t="shared" si="32"/>
        <v>0</v>
      </c>
      <c r="H117" s="34">
        <f t="shared" si="32"/>
        <v>0</v>
      </c>
      <c r="I117" s="34">
        <f t="shared" si="32"/>
        <v>0</v>
      </c>
      <c r="J117" s="34">
        <f t="shared" si="32"/>
        <v>0</v>
      </c>
      <c r="K117" s="34">
        <f t="shared" si="32"/>
        <v>0</v>
      </c>
      <c r="L117" s="34">
        <f t="shared" si="32"/>
        <v>0</v>
      </c>
      <c r="M117" s="34">
        <f t="shared" si="32"/>
        <v>0</v>
      </c>
      <c r="N117" s="34">
        <f t="shared" si="32"/>
        <v>0</v>
      </c>
      <c r="O117" s="34">
        <f t="shared" si="32"/>
        <v>0</v>
      </c>
      <c r="P117" s="34">
        <f t="shared" si="32"/>
        <v>0</v>
      </c>
      <c r="Q117" s="34">
        <f t="shared" si="32"/>
        <v>0</v>
      </c>
    </row>
    <row r="118" spans="1:17" ht="15" customHeight="1">
      <c r="A118" s="69" t="s">
        <v>129</v>
      </c>
      <c r="B118" s="84">
        <f t="shared" ref="B118:Q118" si="33">B39/B$49</f>
        <v>0.82998546386712879</v>
      </c>
      <c r="C118" s="84">
        <f t="shared" si="33"/>
        <v>0.868084166239112</v>
      </c>
      <c r="D118" s="84">
        <f t="shared" si="33"/>
        <v>0.80039105743656103</v>
      </c>
      <c r="E118" s="84">
        <f t="shared" si="33"/>
        <v>0.83283034461590877</v>
      </c>
      <c r="F118" s="84">
        <f t="shared" si="33"/>
        <v>0.87340803300883241</v>
      </c>
      <c r="G118" s="84">
        <f t="shared" si="33"/>
        <v>0.64608742304502187</v>
      </c>
      <c r="H118" s="84">
        <f t="shared" si="33"/>
        <v>0.34483688462011652</v>
      </c>
      <c r="I118" s="84">
        <f t="shared" si="33"/>
        <v>0.43547730625596431</v>
      </c>
      <c r="J118" s="84">
        <f t="shared" si="33"/>
        <v>0.39854505001335355</v>
      </c>
      <c r="K118" s="84">
        <f t="shared" si="33"/>
        <v>0.45526734364393201</v>
      </c>
      <c r="L118" s="84">
        <f t="shared" si="33"/>
        <v>0.50638381637979235</v>
      </c>
      <c r="M118" s="84">
        <f t="shared" si="33"/>
        <v>0.59990257257599955</v>
      </c>
      <c r="N118" s="84">
        <f t="shared" si="33"/>
        <v>0.57456127710911653</v>
      </c>
      <c r="O118" s="84">
        <f t="shared" si="33"/>
        <v>0.57698686897113327</v>
      </c>
      <c r="P118" s="84">
        <f t="shared" si="33"/>
        <v>0.47175307863402016</v>
      </c>
      <c r="Q118" s="84">
        <f t="shared" si="33"/>
        <v>0.56137328539588449</v>
      </c>
    </row>
    <row r="119" spans="1:17" ht="15" customHeight="1">
      <c r="A119" s="70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 spans="1:17" ht="15" customHeight="1">
      <c r="A120" s="70" t="s">
        <v>160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 spans="1:17" ht="15" customHeight="1">
      <c r="A121" s="67" t="s">
        <v>161</v>
      </c>
      <c r="B121" s="34">
        <f t="shared" ref="B121:Q121" si="34">B42/B$49</f>
        <v>4.083516690677931E-2</v>
      </c>
      <c r="C121" s="34">
        <f t="shared" si="34"/>
        <v>1.702438125688583E-2</v>
      </c>
      <c r="D121" s="34">
        <f t="shared" si="34"/>
        <v>2.0504636618503342E-2</v>
      </c>
      <c r="E121" s="34">
        <f t="shared" si="34"/>
        <v>6.8933037383078878E-3</v>
      </c>
      <c r="F121" s="34">
        <f t="shared" si="34"/>
        <v>2.21468635162143E-2</v>
      </c>
      <c r="G121" s="34">
        <f t="shared" si="34"/>
        <v>2.7548441766582421E-3</v>
      </c>
      <c r="H121" s="34">
        <f t="shared" si="34"/>
        <v>5.7638538947304551E-4</v>
      </c>
      <c r="I121" s="34">
        <f t="shared" si="34"/>
        <v>4.9384138465944152E-4</v>
      </c>
      <c r="J121" s="34">
        <f t="shared" si="34"/>
        <v>0</v>
      </c>
      <c r="K121" s="34">
        <f t="shared" si="34"/>
        <v>0</v>
      </c>
      <c r="L121" s="34">
        <f t="shared" si="34"/>
        <v>7.1405816419774825E-3</v>
      </c>
      <c r="M121" s="34">
        <f t="shared" si="34"/>
        <v>1.2738212870465089E-2</v>
      </c>
      <c r="N121" s="34">
        <f t="shared" si="34"/>
        <v>7.4089258486417335E-3</v>
      </c>
      <c r="O121" s="34">
        <f t="shared" si="34"/>
        <v>7.8904481918277789E-3</v>
      </c>
      <c r="P121" s="34">
        <f t="shared" si="34"/>
        <v>0</v>
      </c>
      <c r="Q121" s="34">
        <f t="shared" si="34"/>
        <v>5.0606574173987394E-3</v>
      </c>
    </row>
    <row r="122" spans="1:17" ht="15" customHeight="1">
      <c r="A122" s="67" t="s">
        <v>162</v>
      </c>
      <c r="B122" s="34">
        <f t="shared" ref="B122:Q122" si="35">B43/B$49</f>
        <v>3.1928666677139832E-2</v>
      </c>
      <c r="C122" s="34">
        <f t="shared" si="35"/>
        <v>3.3140805300062609E-2</v>
      </c>
      <c r="D122" s="34">
        <f t="shared" si="35"/>
        <v>6.6266024489013489E-2</v>
      </c>
      <c r="E122" s="34">
        <f t="shared" si="35"/>
        <v>6.2050293239958351E-2</v>
      </c>
      <c r="F122" s="34">
        <f t="shared" si="35"/>
        <v>4.6499129649925856E-2</v>
      </c>
      <c r="G122" s="34">
        <f t="shared" si="35"/>
        <v>1.747427026155763E-2</v>
      </c>
      <c r="H122" s="34">
        <f t="shared" si="35"/>
        <v>4.1734491465090284E-2</v>
      </c>
      <c r="I122" s="34">
        <f t="shared" si="35"/>
        <v>4.806416681903531E-2</v>
      </c>
      <c r="J122" s="34">
        <f t="shared" si="35"/>
        <v>5.3690490890988984E-2</v>
      </c>
      <c r="K122" s="34">
        <f t="shared" si="35"/>
        <v>5.9450840183066546E-2</v>
      </c>
      <c r="L122" s="34">
        <f t="shared" si="35"/>
        <v>5.0728745278681146E-2</v>
      </c>
      <c r="M122" s="34">
        <f t="shared" si="35"/>
        <v>4.0200087536054807E-2</v>
      </c>
      <c r="N122" s="34">
        <f t="shared" si="35"/>
        <v>6.2328524720234459E-2</v>
      </c>
      <c r="O122" s="34">
        <f t="shared" si="35"/>
        <v>9.196241953510248E-2</v>
      </c>
      <c r="P122" s="34">
        <f t="shared" si="35"/>
        <v>0.13564087679258524</v>
      </c>
      <c r="Q122" s="34">
        <f t="shared" si="35"/>
        <v>0.1132513328610793</v>
      </c>
    </row>
    <row r="123" spans="1:17" ht="15" customHeight="1">
      <c r="A123" s="67" t="s">
        <v>163</v>
      </c>
      <c r="B123" s="34">
        <f t="shared" ref="B123:Q123" si="36">B44/B$49</f>
        <v>5.4036895717801264E-2</v>
      </c>
      <c r="C123" s="34">
        <f t="shared" si="36"/>
        <v>4.2994746766549304E-2</v>
      </c>
      <c r="D123" s="34">
        <f t="shared" si="36"/>
        <v>5.7032084920806074E-2</v>
      </c>
      <c r="E123" s="34">
        <f t="shared" si="36"/>
        <v>4.4780427297539123E-2</v>
      </c>
      <c r="F123" s="34">
        <f t="shared" si="36"/>
        <v>2.7905873251241053E-2</v>
      </c>
      <c r="G123" s="34">
        <f t="shared" si="36"/>
        <v>2.5212891048138515E-2</v>
      </c>
      <c r="H123" s="34">
        <f t="shared" si="36"/>
        <v>3.8415099082189333E-2</v>
      </c>
      <c r="I123" s="34">
        <f t="shared" si="36"/>
        <v>1.9272128727709302E-2</v>
      </c>
      <c r="J123" s="34">
        <f t="shared" si="36"/>
        <v>1.8928443384212255E-2</v>
      </c>
      <c r="K123" s="34">
        <f t="shared" si="36"/>
        <v>0</v>
      </c>
      <c r="L123" s="34">
        <f t="shared" si="36"/>
        <v>3.895874001002142E-2</v>
      </c>
      <c r="M123" s="34">
        <f t="shared" si="36"/>
        <v>2.8856788349299608E-2</v>
      </c>
      <c r="N123" s="34">
        <f t="shared" si="36"/>
        <v>2.1347734051359531E-2</v>
      </c>
      <c r="O123" s="34">
        <f t="shared" si="36"/>
        <v>1.8066649722160339E-2</v>
      </c>
      <c r="P123" s="34">
        <f t="shared" si="36"/>
        <v>2.3870692513067282E-2</v>
      </c>
      <c r="Q123" s="34">
        <f t="shared" si="36"/>
        <v>1.9753621617716124E-2</v>
      </c>
    </row>
    <row r="124" spans="1:17" ht="15" customHeight="1">
      <c r="A124" s="67" t="s">
        <v>164</v>
      </c>
      <c r="B124" s="34">
        <f t="shared" ref="B124:Q124" si="37">B45/B$49</f>
        <v>4.002842539396801E-2</v>
      </c>
      <c r="C124" s="34">
        <f t="shared" si="37"/>
        <v>3.5522633237399619E-2</v>
      </c>
      <c r="D124" s="34">
        <f t="shared" si="37"/>
        <v>5.2378693120552079E-2</v>
      </c>
      <c r="E124" s="34">
        <f t="shared" si="37"/>
        <v>4.6303120923556276E-2</v>
      </c>
      <c r="F124" s="34">
        <f t="shared" si="37"/>
        <v>2.6173941074076463E-2</v>
      </c>
      <c r="G124" s="34">
        <f t="shared" si="37"/>
        <v>7.6820089900394475E-2</v>
      </c>
      <c r="H124" s="34">
        <f t="shared" si="37"/>
        <v>0.248619768863199</v>
      </c>
      <c r="I124" s="34">
        <f t="shared" si="37"/>
        <v>0.21583853265239161</v>
      </c>
      <c r="J124" s="34">
        <f t="shared" si="37"/>
        <v>0.23103670930004722</v>
      </c>
      <c r="K124" s="34">
        <f t="shared" si="37"/>
        <v>0.20944456941737619</v>
      </c>
      <c r="L124" s="34">
        <f t="shared" si="37"/>
        <v>0.17073907623692589</v>
      </c>
      <c r="M124" s="34">
        <f t="shared" si="37"/>
        <v>0.1374011119333988</v>
      </c>
      <c r="N124" s="34">
        <f t="shared" si="37"/>
        <v>0.14715959824456581</v>
      </c>
      <c r="O124" s="34">
        <f t="shared" si="37"/>
        <v>0.14733244811708474</v>
      </c>
      <c r="P124" s="34">
        <f t="shared" si="37"/>
        <v>0.18321488455438201</v>
      </c>
      <c r="Q124" s="34">
        <f t="shared" si="37"/>
        <v>0.14442680036377173</v>
      </c>
    </row>
    <row r="125" spans="1:17" ht="15" customHeight="1">
      <c r="A125" s="67" t="s">
        <v>165</v>
      </c>
      <c r="B125" s="34">
        <f t="shared" ref="B125:Q125" si="38">B46/B$49</f>
        <v>0</v>
      </c>
      <c r="C125" s="34">
        <f t="shared" si="38"/>
        <v>0</v>
      </c>
      <c r="D125" s="34">
        <f t="shared" si="38"/>
        <v>0</v>
      </c>
      <c r="E125" s="34">
        <f t="shared" si="38"/>
        <v>0</v>
      </c>
      <c r="F125" s="34">
        <f t="shared" si="38"/>
        <v>0</v>
      </c>
      <c r="G125" s="34">
        <f t="shared" si="38"/>
        <v>0.2296986848796066</v>
      </c>
      <c r="H125" s="34">
        <f t="shared" si="38"/>
        <v>0.320609678025921</v>
      </c>
      <c r="I125" s="34">
        <f t="shared" si="38"/>
        <v>0.27794607903298929</v>
      </c>
      <c r="J125" s="34">
        <f t="shared" si="38"/>
        <v>0.2941628150534219</v>
      </c>
      <c r="K125" s="34">
        <f t="shared" si="38"/>
        <v>0.26509273765704289</v>
      </c>
      <c r="L125" s="34">
        <f t="shared" si="38"/>
        <v>0.21468708223945768</v>
      </c>
      <c r="M125" s="34">
        <f t="shared" si="38"/>
        <v>0.17061881533172474</v>
      </c>
      <c r="N125" s="34">
        <f t="shared" si="38"/>
        <v>0.17097830064855082</v>
      </c>
      <c r="O125" s="34">
        <f t="shared" si="38"/>
        <v>0.14638288128597654</v>
      </c>
      <c r="P125" s="34">
        <f t="shared" si="38"/>
        <v>0.17251297400509308</v>
      </c>
      <c r="Q125" s="34">
        <f t="shared" si="38"/>
        <v>0.1394398606484121</v>
      </c>
    </row>
    <row r="126" spans="1:17" ht="15" customHeight="1">
      <c r="A126" s="67" t="s">
        <v>166</v>
      </c>
      <c r="B126" s="34">
        <f t="shared" ref="B126:Q126" si="39">B47/B$49</f>
        <v>3.1853814371827441E-3</v>
      </c>
      <c r="C126" s="34">
        <f t="shared" si="39"/>
        <v>3.233267199990605E-3</v>
      </c>
      <c r="D126" s="34">
        <f t="shared" si="39"/>
        <v>3.4275034145640139E-3</v>
      </c>
      <c r="E126" s="34">
        <f t="shared" si="39"/>
        <v>7.1425101847295584E-3</v>
      </c>
      <c r="F126" s="34">
        <f t="shared" si="39"/>
        <v>3.8661594997098834E-3</v>
      </c>
      <c r="G126" s="34">
        <f t="shared" si="39"/>
        <v>1.9517966886227341E-3</v>
      </c>
      <c r="H126" s="34">
        <f t="shared" si="39"/>
        <v>5.2076925540108501E-3</v>
      </c>
      <c r="I126" s="34">
        <f t="shared" si="39"/>
        <v>2.9079451272507771E-3</v>
      </c>
      <c r="J126" s="34">
        <f t="shared" si="39"/>
        <v>3.6364913579761474E-3</v>
      </c>
      <c r="K126" s="34">
        <f t="shared" si="39"/>
        <v>1.0744509098582409E-2</v>
      </c>
      <c r="L126" s="34">
        <f t="shared" si="39"/>
        <v>1.1361958213144048E-2</v>
      </c>
      <c r="M126" s="34">
        <f t="shared" si="39"/>
        <v>1.0282411403057407E-2</v>
      </c>
      <c r="N126" s="34">
        <f t="shared" si="39"/>
        <v>1.6215639377531094E-2</v>
      </c>
      <c r="O126" s="34">
        <f t="shared" si="39"/>
        <v>1.1378284176714821E-2</v>
      </c>
      <c r="P126" s="34">
        <f t="shared" si="39"/>
        <v>1.3007493500852238E-2</v>
      </c>
      <c r="Q126" s="34">
        <f t="shared" si="39"/>
        <v>1.6694441695737514E-2</v>
      </c>
    </row>
    <row r="127" spans="1:17" ht="15" customHeight="1">
      <c r="A127" s="67" t="s">
        <v>167</v>
      </c>
      <c r="B127" s="34">
        <f t="shared" ref="B127:Q127" si="40">B48/B$49</f>
        <v>0.17001453613287115</v>
      </c>
      <c r="C127" s="34">
        <f t="shared" si="40"/>
        <v>0.13191583376088797</v>
      </c>
      <c r="D127" s="34">
        <f t="shared" si="40"/>
        <v>0.199608942563439</v>
      </c>
      <c r="E127" s="34">
        <f t="shared" si="40"/>
        <v>0.1671696553840912</v>
      </c>
      <c r="F127" s="34">
        <f t="shared" si="40"/>
        <v>0.12659196699116756</v>
      </c>
      <c r="G127" s="34">
        <f t="shared" si="40"/>
        <v>0.35391257695497819</v>
      </c>
      <c r="H127" s="34">
        <f t="shared" si="40"/>
        <v>0.65516311537988348</v>
      </c>
      <c r="I127" s="34">
        <f t="shared" si="40"/>
        <v>0.56452269374403574</v>
      </c>
      <c r="J127" s="34">
        <f t="shared" si="40"/>
        <v>0.6014549499866465</v>
      </c>
      <c r="K127" s="34">
        <f t="shared" si="40"/>
        <v>0.54473265635606805</v>
      </c>
      <c r="L127" s="34">
        <f t="shared" si="40"/>
        <v>0.49361618362020765</v>
      </c>
      <c r="M127" s="34">
        <f t="shared" si="40"/>
        <v>0.40009742742400045</v>
      </c>
      <c r="N127" s="34">
        <f t="shared" si="40"/>
        <v>0.42543872289088347</v>
      </c>
      <c r="O127" s="34">
        <f t="shared" si="40"/>
        <v>0.42301313102886673</v>
      </c>
      <c r="P127" s="34">
        <f t="shared" si="40"/>
        <v>0.52824692136597984</v>
      </c>
      <c r="Q127" s="34">
        <f t="shared" si="40"/>
        <v>0.43862671460411551</v>
      </c>
    </row>
    <row r="128" spans="1:17" ht="15" customHeight="1">
      <c r="A128" s="76" t="s">
        <v>168</v>
      </c>
      <c r="B128" s="84">
        <f t="shared" ref="B128:Q128" si="41">B49/B$49</f>
        <v>1</v>
      </c>
      <c r="C128" s="84">
        <f t="shared" si="41"/>
        <v>1</v>
      </c>
      <c r="D128" s="84">
        <f t="shared" si="41"/>
        <v>1</v>
      </c>
      <c r="E128" s="84">
        <f t="shared" si="41"/>
        <v>1</v>
      </c>
      <c r="F128" s="84">
        <f t="shared" si="41"/>
        <v>1</v>
      </c>
      <c r="G128" s="84">
        <f t="shared" si="41"/>
        <v>1</v>
      </c>
      <c r="H128" s="84">
        <f t="shared" si="41"/>
        <v>1</v>
      </c>
      <c r="I128" s="84">
        <f t="shared" si="41"/>
        <v>1</v>
      </c>
      <c r="J128" s="84">
        <f t="shared" si="41"/>
        <v>1</v>
      </c>
      <c r="K128" s="84">
        <f t="shared" si="41"/>
        <v>1</v>
      </c>
      <c r="L128" s="84">
        <f t="shared" si="41"/>
        <v>1</v>
      </c>
      <c r="M128" s="84">
        <f t="shared" si="41"/>
        <v>1</v>
      </c>
      <c r="N128" s="84">
        <f t="shared" si="41"/>
        <v>1</v>
      </c>
      <c r="O128" s="84">
        <f t="shared" si="41"/>
        <v>1</v>
      </c>
      <c r="P128" s="84">
        <f t="shared" si="41"/>
        <v>1</v>
      </c>
      <c r="Q128" s="84">
        <f t="shared" si="41"/>
        <v>1</v>
      </c>
    </row>
    <row r="129" spans="1:17" ht="15" customHeight="1">
      <c r="A129" s="7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7" ht="15" customHeight="1">
      <c r="A130" s="70" t="s">
        <v>169</v>
      </c>
      <c r="O130" s="34"/>
      <c r="P130" s="34"/>
      <c r="Q130" s="34"/>
    </row>
    <row r="131" spans="1:17" ht="15" customHeight="1">
      <c r="A131" s="67" t="s">
        <v>170</v>
      </c>
      <c r="B131" s="34">
        <f t="shared" ref="B131:N131" si="42">B52/B$79</f>
        <v>0</v>
      </c>
      <c r="C131" s="34">
        <f t="shared" si="42"/>
        <v>0</v>
      </c>
      <c r="D131" s="34">
        <f t="shared" si="42"/>
        <v>0</v>
      </c>
      <c r="E131" s="34">
        <f t="shared" si="42"/>
        <v>0</v>
      </c>
      <c r="F131" s="34">
        <f t="shared" si="42"/>
        <v>0</v>
      </c>
      <c r="G131" s="34">
        <f t="shared" si="42"/>
        <v>0</v>
      </c>
      <c r="H131" s="34">
        <f t="shared" si="42"/>
        <v>0</v>
      </c>
      <c r="I131" s="34">
        <f t="shared" si="42"/>
        <v>0</v>
      </c>
      <c r="J131" s="34">
        <f t="shared" si="42"/>
        <v>0</v>
      </c>
      <c r="K131" s="34">
        <f t="shared" si="42"/>
        <v>0</v>
      </c>
      <c r="L131" s="34">
        <f t="shared" si="42"/>
        <v>0</v>
      </c>
      <c r="M131" s="34">
        <f t="shared" si="42"/>
        <v>0</v>
      </c>
      <c r="N131" s="34">
        <f t="shared" si="42"/>
        <v>0</v>
      </c>
      <c r="O131" s="34">
        <f>O52/O$79</f>
        <v>0</v>
      </c>
      <c r="P131" s="34">
        <f t="shared" ref="P131:Q131" si="43">P52/P$79</f>
        <v>0</v>
      </c>
      <c r="Q131" s="34">
        <f t="shared" si="43"/>
        <v>0</v>
      </c>
    </row>
    <row r="132" spans="1:17" ht="15" customHeight="1">
      <c r="A132" s="67" t="s">
        <v>130</v>
      </c>
      <c r="B132" s="34">
        <f t="shared" ref="B132:Q132" si="44">B53/B$79</f>
        <v>7.9171560559673462E-2</v>
      </c>
      <c r="C132" s="34">
        <f t="shared" si="44"/>
        <v>8.3269291888793229E-2</v>
      </c>
      <c r="D132" s="34">
        <f t="shared" si="44"/>
        <v>0.12204250832674382</v>
      </c>
      <c r="E132" s="34">
        <f t="shared" si="44"/>
        <v>8.4037482339077055E-2</v>
      </c>
      <c r="F132" s="34">
        <f t="shared" si="44"/>
        <v>6.5832505963509771E-2</v>
      </c>
      <c r="G132" s="34">
        <f t="shared" si="44"/>
        <v>2.5983809456970097E-2</v>
      </c>
      <c r="H132" s="34">
        <f t="shared" si="44"/>
        <v>4.6532165506873648E-2</v>
      </c>
      <c r="I132" s="34">
        <f t="shared" si="44"/>
        <v>5.1327360482503491E-2</v>
      </c>
      <c r="J132" s="34">
        <f t="shared" si="44"/>
        <v>5.4951621322448456E-2</v>
      </c>
      <c r="K132" s="34">
        <f t="shared" si="44"/>
        <v>5.4500006761664069E-2</v>
      </c>
      <c r="L132" s="34">
        <f t="shared" si="44"/>
        <v>4.78500063520561E-2</v>
      </c>
      <c r="M132" s="34">
        <f t="shared" si="44"/>
        <v>5.179682102669337E-2</v>
      </c>
      <c r="N132" s="34">
        <f t="shared" si="44"/>
        <v>5.3570405776847151E-2</v>
      </c>
      <c r="O132" s="34">
        <f t="shared" si="44"/>
        <v>5.8264359488369513E-2</v>
      </c>
      <c r="P132" s="34">
        <f t="shared" si="44"/>
        <v>6.0470218700678278E-2</v>
      </c>
      <c r="Q132" s="34">
        <f t="shared" si="44"/>
        <v>5.6660037671646006E-2</v>
      </c>
    </row>
    <row r="133" spans="1:17" ht="15" customHeight="1">
      <c r="A133" s="67" t="s">
        <v>131</v>
      </c>
      <c r="B133" s="34">
        <f t="shared" ref="B133:Q133" si="45">B54/B$79</f>
        <v>2.2003805454237982E-2</v>
      </c>
      <c r="C133" s="34">
        <f t="shared" si="45"/>
        <v>2.3463023681021492E-2</v>
      </c>
      <c r="D133" s="34">
        <f t="shared" si="45"/>
        <v>3.729997843433254E-2</v>
      </c>
      <c r="E133" s="34">
        <f t="shared" si="45"/>
        <v>4.1613956687356436E-2</v>
      </c>
      <c r="F133" s="34">
        <f t="shared" si="45"/>
        <v>2.0770292050802656E-2</v>
      </c>
      <c r="G133" s="34">
        <f t="shared" si="45"/>
        <v>1.4679937831129201E-2</v>
      </c>
      <c r="H133" s="34">
        <f t="shared" si="45"/>
        <v>1.9146877394834345E-2</v>
      </c>
      <c r="I133" s="34">
        <f t="shared" si="45"/>
        <v>1.8258146713053525E-2</v>
      </c>
      <c r="J133" s="34">
        <f t="shared" si="45"/>
        <v>2.4853039315503731E-2</v>
      </c>
      <c r="K133" s="34">
        <f t="shared" si="45"/>
        <v>2.2686377315173891E-2</v>
      </c>
      <c r="L133" s="34">
        <f t="shared" si="45"/>
        <v>2.2998473571899793E-2</v>
      </c>
      <c r="M133" s="34">
        <f t="shared" si="45"/>
        <v>2.7030088212562961E-2</v>
      </c>
      <c r="N133" s="34">
        <f t="shared" si="45"/>
        <v>2.0859617718574648E-2</v>
      </c>
      <c r="O133" s="34">
        <f t="shared" si="45"/>
        <v>1.8994227236566439E-2</v>
      </c>
      <c r="P133" s="34">
        <f t="shared" si="45"/>
        <v>2.8599747975441143E-2</v>
      </c>
      <c r="Q133" s="34">
        <f t="shared" si="45"/>
        <v>3.0642375145723596E-2</v>
      </c>
    </row>
    <row r="134" spans="1:17" ht="15" customHeight="1">
      <c r="A134" s="67" t="s">
        <v>171</v>
      </c>
      <c r="B134" s="34">
        <f t="shared" ref="B134:Q134" si="46">B55/B$79</f>
        <v>3.7610973163138288E-4</v>
      </c>
      <c r="C134" s="34">
        <f t="shared" si="46"/>
        <v>0</v>
      </c>
      <c r="D134" s="34">
        <f t="shared" si="46"/>
        <v>0</v>
      </c>
      <c r="E134" s="34">
        <f t="shared" si="46"/>
        <v>0</v>
      </c>
      <c r="F134" s="34">
        <f t="shared" si="46"/>
        <v>0</v>
      </c>
      <c r="G134" s="34">
        <f t="shared" si="46"/>
        <v>1.9776435456359469E-3</v>
      </c>
      <c r="H134" s="34">
        <f t="shared" si="46"/>
        <v>1.9704001785494588E-3</v>
      </c>
      <c r="I134" s="34">
        <f t="shared" si="46"/>
        <v>1.8993899409978517E-5</v>
      </c>
      <c r="J134" s="34">
        <f t="shared" si="46"/>
        <v>0</v>
      </c>
      <c r="K134" s="34">
        <f t="shared" si="46"/>
        <v>0</v>
      </c>
      <c r="L134" s="34">
        <f t="shared" si="46"/>
        <v>0</v>
      </c>
      <c r="M134" s="34">
        <f t="shared" si="46"/>
        <v>0</v>
      </c>
      <c r="N134" s="34">
        <f t="shared" si="46"/>
        <v>0</v>
      </c>
      <c r="O134" s="34">
        <f t="shared" si="46"/>
        <v>0</v>
      </c>
      <c r="P134" s="34">
        <f t="shared" si="46"/>
        <v>0</v>
      </c>
      <c r="Q134" s="34">
        <f t="shared" si="46"/>
        <v>0</v>
      </c>
    </row>
    <row r="135" spans="1:17" ht="15" customHeight="1">
      <c r="A135" s="67" t="s">
        <v>133</v>
      </c>
      <c r="B135" s="34">
        <f t="shared" ref="B135:Q135" si="47">B56/B$79</f>
        <v>9.3703997020693434E-3</v>
      </c>
      <c r="C135" s="34">
        <f t="shared" si="47"/>
        <v>8.5019146373419233E-3</v>
      </c>
      <c r="D135" s="34">
        <f t="shared" si="47"/>
        <v>1.2167828816524093E-2</v>
      </c>
      <c r="E135" s="34">
        <f t="shared" si="47"/>
        <v>9.7373547087698849E-3</v>
      </c>
      <c r="F135" s="34">
        <f t="shared" si="47"/>
        <v>2.5749983882406034E-2</v>
      </c>
      <c r="G135" s="34">
        <f t="shared" si="47"/>
        <v>5.7923883518984963E-3</v>
      </c>
      <c r="H135" s="34">
        <f t="shared" si="47"/>
        <v>1.0033054281587617E-2</v>
      </c>
      <c r="I135" s="34">
        <f t="shared" si="47"/>
        <v>9.0243981856025415E-3</v>
      </c>
      <c r="J135" s="34">
        <f t="shared" si="47"/>
        <v>9.729635637350225E-3</v>
      </c>
      <c r="K135" s="34">
        <f t="shared" si="47"/>
        <v>0</v>
      </c>
      <c r="L135" s="34">
        <f t="shared" si="47"/>
        <v>7.3240496582464842E-3</v>
      </c>
      <c r="M135" s="34">
        <f t="shared" si="47"/>
        <v>5.4492219131240536E-3</v>
      </c>
      <c r="N135" s="34">
        <f t="shared" si="47"/>
        <v>5.222531247343426E-3</v>
      </c>
      <c r="O135" s="34">
        <f t="shared" si="47"/>
        <v>4.3270432875700893E-3</v>
      </c>
      <c r="P135" s="34">
        <f t="shared" si="47"/>
        <v>5.9345085929181536E-3</v>
      </c>
      <c r="Q135" s="34">
        <f t="shared" si="47"/>
        <v>4.537316002841141E-3</v>
      </c>
    </row>
    <row r="136" spans="1:17" ht="15" customHeight="1">
      <c r="A136" s="67" t="s">
        <v>172</v>
      </c>
      <c r="B136" s="34">
        <f t="shared" ref="B136:Q136" si="48">B57/B$79</f>
        <v>0</v>
      </c>
      <c r="C136" s="34">
        <f t="shared" si="48"/>
        <v>0</v>
      </c>
      <c r="D136" s="34">
        <f t="shared" si="48"/>
        <v>0</v>
      </c>
      <c r="E136" s="34">
        <f t="shared" si="48"/>
        <v>0</v>
      </c>
      <c r="F136" s="34">
        <f t="shared" si="48"/>
        <v>0</v>
      </c>
      <c r="G136" s="34">
        <f t="shared" si="48"/>
        <v>0</v>
      </c>
      <c r="H136" s="34">
        <f t="shared" si="48"/>
        <v>0</v>
      </c>
      <c r="I136" s="34">
        <f t="shared" si="48"/>
        <v>0</v>
      </c>
      <c r="J136" s="34">
        <f t="shared" si="48"/>
        <v>0</v>
      </c>
      <c r="K136" s="34">
        <f t="shared" si="48"/>
        <v>0</v>
      </c>
      <c r="L136" s="34">
        <f t="shared" si="48"/>
        <v>0</v>
      </c>
      <c r="M136" s="34">
        <f t="shared" si="48"/>
        <v>0</v>
      </c>
      <c r="N136" s="34">
        <f t="shared" si="48"/>
        <v>0</v>
      </c>
      <c r="O136" s="34">
        <f t="shared" si="48"/>
        <v>0</v>
      </c>
      <c r="P136" s="34">
        <f t="shared" si="48"/>
        <v>0</v>
      </c>
      <c r="Q136" s="34">
        <f t="shared" si="48"/>
        <v>0</v>
      </c>
    </row>
    <row r="137" spans="1:17" ht="15" customHeight="1">
      <c r="A137" s="67" t="s">
        <v>132</v>
      </c>
      <c r="B137" s="34">
        <f t="shared" ref="B137:Q137" si="49">B58/B$79</f>
        <v>0</v>
      </c>
      <c r="C137" s="34">
        <f t="shared" si="49"/>
        <v>6.4405508224829877E-2</v>
      </c>
      <c r="D137" s="34">
        <f t="shared" si="49"/>
        <v>8.7420506553566715E-2</v>
      </c>
      <c r="E137" s="34">
        <f t="shared" si="49"/>
        <v>7.00241955524393E-2</v>
      </c>
      <c r="F137" s="34">
        <f t="shared" si="49"/>
        <v>5.8821223647733865E-2</v>
      </c>
      <c r="G137" s="34">
        <f t="shared" si="49"/>
        <v>2.073671799122535E-2</v>
      </c>
      <c r="H137" s="34">
        <f t="shared" si="49"/>
        <v>2.6540934076583176E-2</v>
      </c>
      <c r="I137" s="34">
        <f t="shared" si="49"/>
        <v>2.8803517920639732E-2</v>
      </c>
      <c r="J137" s="34">
        <f t="shared" si="49"/>
        <v>3.2194501701057081E-2</v>
      </c>
      <c r="K137" s="34">
        <f t="shared" si="49"/>
        <v>3.316417240811495E-2</v>
      </c>
      <c r="L137" s="34">
        <f t="shared" si="49"/>
        <v>3.0092946380263098E-2</v>
      </c>
      <c r="M137" s="34">
        <f t="shared" si="49"/>
        <v>2.7093767104893612E-2</v>
      </c>
      <c r="N137" s="34">
        <f t="shared" si="49"/>
        <v>3.0824522298945931E-2</v>
      </c>
      <c r="O137" s="34">
        <f t="shared" si="49"/>
        <v>2.7776842916373907E-2</v>
      </c>
      <c r="P137" s="34">
        <f t="shared" si="49"/>
        <v>3.4681683291901418E-2</v>
      </c>
      <c r="Q137" s="34">
        <f t="shared" si="49"/>
        <v>3.8449505928804292E-2</v>
      </c>
    </row>
    <row r="138" spans="1:17" ht="15" customHeight="1">
      <c r="A138" s="67" t="s">
        <v>134</v>
      </c>
      <c r="B138" s="34">
        <f t="shared" ref="B138:Q138" si="50">B59/B$79</f>
        <v>7.0259515714825652E-3</v>
      </c>
      <c r="C138" s="34">
        <f t="shared" si="50"/>
        <v>7.599095419183367E-3</v>
      </c>
      <c r="D138" s="34">
        <f t="shared" si="50"/>
        <v>1.238923633575348E-2</v>
      </c>
      <c r="E138" s="34">
        <f t="shared" si="50"/>
        <v>1.0463854857660177E-2</v>
      </c>
      <c r="F138" s="34">
        <f t="shared" si="50"/>
        <v>9.274966153052672E-3</v>
      </c>
      <c r="G138" s="34">
        <f t="shared" si="50"/>
        <v>3.9773646149706791E-3</v>
      </c>
      <c r="H138" s="34">
        <f t="shared" si="50"/>
        <v>7.2332273416619497E-3</v>
      </c>
      <c r="I138" s="34">
        <f t="shared" si="50"/>
        <v>7.3045110302374528E-3</v>
      </c>
      <c r="J138" s="34">
        <f t="shared" si="50"/>
        <v>8.8146588906160978E-3</v>
      </c>
      <c r="K138" s="34">
        <f t="shared" si="50"/>
        <v>0</v>
      </c>
      <c r="L138" s="34">
        <f t="shared" si="50"/>
        <v>8.869501682811207E-3</v>
      </c>
      <c r="M138" s="34">
        <f t="shared" si="50"/>
        <v>8.3870354387770366E-3</v>
      </c>
      <c r="N138" s="34">
        <f t="shared" si="50"/>
        <v>8.7377405688219313E-3</v>
      </c>
      <c r="O138" s="34">
        <f t="shared" si="50"/>
        <v>9.0220204940431661E-3</v>
      </c>
      <c r="P138" s="34">
        <f t="shared" si="50"/>
        <v>1.1977320121584296E-2</v>
      </c>
      <c r="Q138" s="34">
        <f t="shared" si="50"/>
        <v>1.1414919193168047E-2</v>
      </c>
    </row>
    <row r="139" spans="1:17" ht="15" customHeight="1">
      <c r="A139" s="67" t="s">
        <v>135</v>
      </c>
      <c r="B139" s="34">
        <f t="shared" ref="B139:Q139" si="51">B60/B$79</f>
        <v>8.5479484461677927E-4</v>
      </c>
      <c r="C139" s="34">
        <f t="shared" si="51"/>
        <v>8.0710570104646287E-3</v>
      </c>
      <c r="D139" s="34">
        <f t="shared" si="51"/>
        <v>5.2428533774231427E-3</v>
      </c>
      <c r="E139" s="34">
        <f t="shared" si="51"/>
        <v>6.5884834238994616E-3</v>
      </c>
      <c r="F139" s="34">
        <f t="shared" si="51"/>
        <v>3.016182064341435E-3</v>
      </c>
      <c r="G139" s="34">
        <f t="shared" si="51"/>
        <v>4.936031721273238E-4</v>
      </c>
      <c r="H139" s="34">
        <f t="shared" si="51"/>
        <v>1.8435183488701378E-3</v>
      </c>
      <c r="I139" s="34">
        <f t="shared" si="51"/>
        <v>2.2218687826288056E-3</v>
      </c>
      <c r="J139" s="34">
        <f t="shared" si="51"/>
        <v>2.2507721082747519E-3</v>
      </c>
      <c r="K139" s="34">
        <f t="shared" si="51"/>
        <v>2.9268061796836656E-3</v>
      </c>
      <c r="L139" s="34">
        <f t="shared" si="51"/>
        <v>3.7778611821015183E-3</v>
      </c>
      <c r="M139" s="34">
        <f t="shared" si="51"/>
        <v>3.8949188087716458E-3</v>
      </c>
      <c r="N139" s="34">
        <f t="shared" si="51"/>
        <v>1.6057917993320958E-3</v>
      </c>
      <c r="O139" s="34">
        <f t="shared" si="51"/>
        <v>1.5438977994371975E-3</v>
      </c>
      <c r="P139" s="34">
        <f t="shared" si="51"/>
        <v>5.1897315862014289E-4</v>
      </c>
      <c r="Q139" s="34">
        <f t="shared" si="51"/>
        <v>3.2340752702112183E-3</v>
      </c>
    </row>
    <row r="140" spans="1:17" ht="15" customHeight="1">
      <c r="A140" s="67" t="s">
        <v>173</v>
      </c>
      <c r="B140" s="34">
        <f t="shared" ref="B140:Q140" si="52">B61/B$79</f>
        <v>2.5320409451351082E-4</v>
      </c>
      <c r="C140" s="34">
        <f t="shared" si="52"/>
        <v>0</v>
      </c>
      <c r="D140" s="34">
        <f t="shared" si="52"/>
        <v>0</v>
      </c>
      <c r="E140" s="34">
        <f t="shared" si="52"/>
        <v>0</v>
      </c>
      <c r="F140" s="34">
        <f t="shared" si="52"/>
        <v>0</v>
      </c>
      <c r="G140" s="34">
        <f t="shared" si="52"/>
        <v>0</v>
      </c>
      <c r="H140" s="34">
        <f t="shared" si="52"/>
        <v>0</v>
      </c>
      <c r="I140" s="34">
        <f t="shared" si="52"/>
        <v>0</v>
      </c>
      <c r="J140" s="34">
        <f t="shared" si="52"/>
        <v>0</v>
      </c>
      <c r="K140" s="34">
        <f t="shared" si="52"/>
        <v>0</v>
      </c>
      <c r="L140" s="34">
        <f t="shared" si="52"/>
        <v>0</v>
      </c>
      <c r="M140" s="34">
        <f t="shared" si="52"/>
        <v>0</v>
      </c>
      <c r="N140" s="34">
        <f t="shared" si="52"/>
        <v>0</v>
      </c>
      <c r="O140" s="34">
        <f t="shared" si="52"/>
        <v>0</v>
      </c>
      <c r="P140" s="34">
        <f t="shared" si="52"/>
        <v>0</v>
      </c>
      <c r="Q140" s="34">
        <f t="shared" si="52"/>
        <v>0</v>
      </c>
    </row>
    <row r="141" spans="1:17" ht="15" customHeight="1">
      <c r="A141" s="69" t="s">
        <v>174</v>
      </c>
      <c r="B141" s="84">
        <f t="shared" ref="B141:Q141" si="53">B62/B$79</f>
        <v>0.11905582595822502</v>
      </c>
      <c r="C141" s="84">
        <f t="shared" si="53"/>
        <v>0.19530989086163453</v>
      </c>
      <c r="D141" s="84">
        <f t="shared" si="53"/>
        <v>0.27656291184434378</v>
      </c>
      <c r="E141" s="84">
        <f t="shared" si="53"/>
        <v>0.22246532756920231</v>
      </c>
      <c r="F141" s="84">
        <f t="shared" si="53"/>
        <v>0.18346515376184644</v>
      </c>
      <c r="G141" s="84">
        <f t="shared" si="53"/>
        <v>7.3641464963957098E-2</v>
      </c>
      <c r="H141" s="84">
        <f t="shared" si="53"/>
        <v>0.11330017712896033</v>
      </c>
      <c r="I141" s="84">
        <f t="shared" si="53"/>
        <v>0.11695879701407552</v>
      </c>
      <c r="J141" s="84">
        <f t="shared" si="53"/>
        <v>0.13279422897525034</v>
      </c>
      <c r="K141" s="84">
        <f t="shared" si="53"/>
        <v>0.11327736266463657</v>
      </c>
      <c r="L141" s="84">
        <f t="shared" si="53"/>
        <v>0.1209128388273782</v>
      </c>
      <c r="M141" s="84">
        <f t="shared" si="53"/>
        <v>0.12365185250482268</v>
      </c>
      <c r="N141" s="84">
        <f t="shared" si="53"/>
        <v>0.12082060940986518</v>
      </c>
      <c r="O141" s="84">
        <f t="shared" si="53"/>
        <v>0.11992839122236031</v>
      </c>
      <c r="P141" s="84">
        <f t="shared" si="53"/>
        <v>0.14218245184114342</v>
      </c>
      <c r="Q141" s="84">
        <f t="shared" si="53"/>
        <v>0.1449382292123943</v>
      </c>
    </row>
    <row r="142" spans="1:17" ht="15" customHeight="1">
      <c r="A142" s="70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 spans="1:17" ht="15" customHeight="1">
      <c r="A143" s="70" t="s">
        <v>175</v>
      </c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 spans="1:17" ht="15" customHeight="1">
      <c r="A144" s="67" t="s">
        <v>176</v>
      </c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>
        <f t="shared" ref="P144" si="54">P65/P$79</f>
        <v>4.8444965461597864E-2</v>
      </c>
      <c r="Q144" s="34"/>
    </row>
    <row r="145" spans="1:17" ht="14.4">
      <c r="A145" s="67" t="s">
        <v>133</v>
      </c>
      <c r="B145" s="34">
        <f t="shared" ref="B145:Q145" si="55">B66/B$79</f>
        <v>0.1154194824840985</v>
      </c>
      <c r="C145" s="34">
        <f t="shared" si="55"/>
        <v>8.5988759533734249E-2</v>
      </c>
      <c r="D145" s="34">
        <f t="shared" si="55"/>
        <v>0.10579924759782426</v>
      </c>
      <c r="E145" s="34">
        <f t="shared" si="55"/>
        <v>7.8997035569644408E-2</v>
      </c>
      <c r="F145" s="34">
        <f t="shared" si="55"/>
        <v>3.5076526336148536E-2</v>
      </c>
      <c r="G145" s="34">
        <f t="shared" si="55"/>
        <v>6.3107614286634819E-2</v>
      </c>
      <c r="H145" s="34">
        <f t="shared" si="55"/>
        <v>8.5030809171413493E-2</v>
      </c>
      <c r="I145" s="34">
        <f t="shared" si="55"/>
        <v>6.9787760915647881E-2</v>
      </c>
      <c r="J145" s="34">
        <f t="shared" si="55"/>
        <v>6.897095600490491E-2</v>
      </c>
      <c r="K145" s="34">
        <f t="shared" si="55"/>
        <v>5.7169670834238205E-2</v>
      </c>
      <c r="L145" s="34">
        <f t="shared" si="55"/>
        <v>4.2632292047548204E-2</v>
      </c>
      <c r="M145" s="34">
        <f t="shared" si="55"/>
        <v>3.1166653683176882E-2</v>
      </c>
      <c r="N145" s="34">
        <f t="shared" si="55"/>
        <v>2.6986273536871896E-2</v>
      </c>
      <c r="O145" s="34">
        <f t="shared" si="55"/>
        <v>2.1086102937669476E-2</v>
      </c>
      <c r="P145" s="34">
        <f t="shared" si="55"/>
        <v>2.31903013425548E-2</v>
      </c>
      <c r="Q145" s="34">
        <f t="shared" si="55"/>
        <v>1.6016806579673828E-2</v>
      </c>
    </row>
    <row r="146" spans="1:17" ht="15" customHeight="1">
      <c r="A146" s="67" t="s">
        <v>177</v>
      </c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 spans="1:17" ht="15" customHeight="1">
      <c r="A147" s="67" t="s">
        <v>178</v>
      </c>
      <c r="B147" s="34">
        <f t="shared" ref="B147:Q147" si="56">B68/B$79</f>
        <v>0</v>
      </c>
      <c r="C147" s="34">
        <f t="shared" si="56"/>
        <v>0</v>
      </c>
      <c r="D147" s="34">
        <f t="shared" si="56"/>
        <v>0</v>
      </c>
      <c r="E147" s="34">
        <f t="shared" si="56"/>
        <v>0</v>
      </c>
      <c r="F147" s="34">
        <f t="shared" si="56"/>
        <v>0</v>
      </c>
      <c r="G147" s="34">
        <f t="shared" si="56"/>
        <v>0</v>
      </c>
      <c r="H147" s="34">
        <f t="shared" si="56"/>
        <v>0</v>
      </c>
      <c r="I147" s="34">
        <f t="shared" si="56"/>
        <v>2.2855296542776348E-4</v>
      </c>
      <c r="J147" s="34">
        <f t="shared" si="56"/>
        <v>5.7898456136893956E-4</v>
      </c>
      <c r="K147" s="34">
        <f t="shared" si="56"/>
        <v>0</v>
      </c>
      <c r="L147" s="34">
        <f t="shared" si="56"/>
        <v>4.4225787542102523E-3</v>
      </c>
      <c r="M147" s="34">
        <f t="shared" si="56"/>
        <v>3.7807580581346004E-3</v>
      </c>
      <c r="N147" s="34">
        <f t="shared" si="56"/>
        <v>5.0989345968729446E-3</v>
      </c>
      <c r="O147" s="34">
        <f t="shared" si="56"/>
        <v>9.4810087666140647E-3</v>
      </c>
      <c r="P147" s="34">
        <f t="shared" si="56"/>
        <v>1.4366073509451698E-2</v>
      </c>
      <c r="Q147" s="34">
        <f t="shared" si="56"/>
        <v>1.2720662692606678E-2</v>
      </c>
    </row>
    <row r="148" spans="1:17" ht="15" customHeight="1">
      <c r="A148" s="67" t="s">
        <v>179</v>
      </c>
      <c r="B148" s="34">
        <f t="shared" ref="B148:Q148" si="57">B69/B$79</f>
        <v>0.1154194824840985</v>
      </c>
      <c r="C148" s="34">
        <f t="shared" si="57"/>
        <v>8.5988759533734249E-2</v>
      </c>
      <c r="D148" s="34">
        <f t="shared" si="57"/>
        <v>0.10579924759782426</v>
      </c>
      <c r="E148" s="34">
        <f t="shared" si="57"/>
        <v>7.8997035569644408E-2</v>
      </c>
      <c r="F148" s="34">
        <f t="shared" si="57"/>
        <v>3.5076526336148536E-2</v>
      </c>
      <c r="G148" s="34">
        <f t="shared" si="57"/>
        <v>6.3107614286634819E-2</v>
      </c>
      <c r="H148" s="34">
        <f t="shared" si="57"/>
        <v>8.5030809171413493E-2</v>
      </c>
      <c r="I148" s="34">
        <f t="shared" si="57"/>
        <v>7.0016313881075654E-2</v>
      </c>
      <c r="J148" s="34">
        <f t="shared" si="57"/>
        <v>6.9549940566273852E-2</v>
      </c>
      <c r="K148" s="34">
        <f t="shared" si="57"/>
        <v>5.7169670834238205E-2</v>
      </c>
      <c r="L148" s="34">
        <f t="shared" si="57"/>
        <v>4.7054870801758457E-2</v>
      </c>
      <c r="M148" s="34">
        <f t="shared" si="57"/>
        <v>3.4947411741311482E-2</v>
      </c>
      <c r="N148" s="34">
        <f t="shared" si="57"/>
        <v>3.2085208133744839E-2</v>
      </c>
      <c r="O148" s="34">
        <f t="shared" si="57"/>
        <v>3.0567111704283539E-2</v>
      </c>
      <c r="P148" s="34">
        <f t="shared" si="57"/>
        <v>8.600134031360436E-2</v>
      </c>
      <c r="Q148" s="34">
        <f t="shared" si="57"/>
        <v>2.8737469272280505E-2</v>
      </c>
    </row>
    <row r="149" spans="1:17" ht="15" customHeight="1">
      <c r="A149" s="77" t="s">
        <v>180</v>
      </c>
      <c r="B149" s="84">
        <f t="shared" ref="B149:Q149" si="58">B70/B$79</f>
        <v>0.23447530844232353</v>
      </c>
      <c r="C149" s="84">
        <f t="shared" si="58"/>
        <v>0.28129865039536878</v>
      </c>
      <c r="D149" s="84">
        <f t="shared" si="58"/>
        <v>0.38236215944216806</v>
      </c>
      <c r="E149" s="84">
        <f t="shared" si="58"/>
        <v>0.30146236313884672</v>
      </c>
      <c r="F149" s="84">
        <f t="shared" si="58"/>
        <v>0.21854168009799496</v>
      </c>
      <c r="G149" s="84">
        <f t="shared" si="58"/>
        <v>0.13674907925059193</v>
      </c>
      <c r="H149" s="84">
        <f t="shared" si="58"/>
        <v>0.19833098630037382</v>
      </c>
      <c r="I149" s="84">
        <f t="shared" si="58"/>
        <v>0.18697511089515118</v>
      </c>
      <c r="J149" s="84">
        <f t="shared" si="58"/>
        <v>0.2023441695415242</v>
      </c>
      <c r="K149" s="84">
        <f t="shared" si="58"/>
        <v>0.17044703349887477</v>
      </c>
      <c r="L149" s="84">
        <f t="shared" si="58"/>
        <v>0.16796770962913665</v>
      </c>
      <c r="M149" s="84">
        <f t="shared" si="58"/>
        <v>0.15859926424613416</v>
      </c>
      <c r="N149" s="84">
        <f t="shared" si="58"/>
        <v>0.15290581754361002</v>
      </c>
      <c r="O149" s="84">
        <f t="shared" si="58"/>
        <v>0.15049550292664385</v>
      </c>
      <c r="P149" s="84">
        <f t="shared" si="58"/>
        <v>0.22818379215474779</v>
      </c>
      <c r="Q149" s="84">
        <f t="shared" si="58"/>
        <v>0.17367569848467482</v>
      </c>
    </row>
    <row r="150" spans="1:17" ht="15" customHeight="1">
      <c r="A150" s="67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 spans="1:17" ht="15" customHeight="1">
      <c r="A151" s="70" t="s">
        <v>181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 spans="1:17" ht="15" customHeight="1">
      <c r="A152" s="88" t="s">
        <v>182</v>
      </c>
      <c r="B152" s="89">
        <f t="shared" ref="B152:Q152" si="59">B73/B$79</f>
        <v>4.5650665215209618E-4</v>
      </c>
      <c r="C152" s="89">
        <f t="shared" si="59"/>
        <v>7.2959536817041113E-4</v>
      </c>
      <c r="D152" s="89">
        <f t="shared" si="59"/>
        <v>9.766851172932692E-4</v>
      </c>
      <c r="E152" s="89">
        <f t="shared" si="59"/>
        <v>7.2509220286531091E-4</v>
      </c>
      <c r="F152" s="89">
        <f t="shared" si="59"/>
        <v>5.3381471213977182E-4</v>
      </c>
      <c r="G152" s="89">
        <f t="shared" si="59"/>
        <v>5.573228543473965E-4</v>
      </c>
      <c r="H152" s="89">
        <f t="shared" si="59"/>
        <v>7.5021590375856726E-4</v>
      </c>
      <c r="I152" s="89">
        <f t="shared" si="59"/>
        <v>6.566462367449716E-4</v>
      </c>
      <c r="J152" s="89">
        <f t="shared" si="59"/>
        <v>6.9694631481076084E-4</v>
      </c>
      <c r="K152" s="89">
        <f t="shared" si="59"/>
        <v>6.3281220790605583E-4</v>
      </c>
      <c r="L152" s="89">
        <f t="shared" si="59"/>
        <v>5.1477449555968711E-4</v>
      </c>
      <c r="M152" s="89">
        <f t="shared" si="59"/>
        <v>4.1000494055953374E-4</v>
      </c>
      <c r="N152" s="89">
        <f t="shared" si="59"/>
        <v>7.7389590509224229E-4</v>
      </c>
      <c r="O152" s="89">
        <f t="shared" si="59"/>
        <v>5.794649514036101E-4</v>
      </c>
      <c r="P152" s="89">
        <f t="shared" si="59"/>
        <v>7.2961977767065523E-4</v>
      </c>
      <c r="Q152" s="89">
        <f t="shared" si="59"/>
        <v>5.6712695885301201E-4</v>
      </c>
    </row>
    <row r="153" spans="1:17" ht="15" customHeight="1">
      <c r="A153" s="67" t="s">
        <v>136</v>
      </c>
      <c r="B153" s="34">
        <f t="shared" ref="B153:Q153" si="60">B74/B$79</f>
        <v>0.17284413809418639</v>
      </c>
      <c r="C153" s="34">
        <f t="shared" si="60"/>
        <v>0.16830678824632136</v>
      </c>
      <c r="D153" s="34">
        <f t="shared" si="60"/>
        <v>0.2759954951716867</v>
      </c>
      <c r="E153" s="34">
        <f t="shared" si="60"/>
        <v>0.25911064273440015</v>
      </c>
      <c r="F153" s="34">
        <f t="shared" si="60"/>
        <v>0.21978982657468893</v>
      </c>
      <c r="G153" s="34">
        <f t="shared" si="60"/>
        <v>0.71613509793176677</v>
      </c>
      <c r="H153" s="34">
        <f t="shared" si="60"/>
        <v>0.97538781419203358</v>
      </c>
      <c r="I153" s="34">
        <f t="shared" si="60"/>
        <v>0.86633638154110237</v>
      </c>
      <c r="J153" s="34">
        <f t="shared" si="60"/>
        <v>0.93622090746165521</v>
      </c>
      <c r="K153" s="34">
        <f t="shared" si="60"/>
        <v>0.87454388598402499</v>
      </c>
      <c r="L153" s="34">
        <f t="shared" si="60"/>
        <v>0.73161208735012206</v>
      </c>
      <c r="M153" s="34">
        <f t="shared" si="60"/>
        <v>0.59612412079565558</v>
      </c>
      <c r="N153" s="34">
        <f t="shared" si="60"/>
        <v>0.57599704815024044</v>
      </c>
      <c r="O153" s="34">
        <f t="shared" si="60"/>
        <v>0.5136121096922095</v>
      </c>
      <c r="P153" s="34">
        <f t="shared" si="60"/>
        <v>0.66651932630910204</v>
      </c>
      <c r="Q153" s="34">
        <f t="shared" si="60"/>
        <v>0.543685744590645</v>
      </c>
    </row>
    <row r="154" spans="1:17" ht="15" customHeight="1">
      <c r="A154" s="67" t="s">
        <v>183</v>
      </c>
      <c r="B154" s="34">
        <f t="shared" ref="B154:Q154" si="61">B75/B$79</f>
        <v>0.81545117920103938</v>
      </c>
      <c r="C154" s="34">
        <f t="shared" si="61"/>
        <v>0.85778395315909661</v>
      </c>
      <c r="D154" s="34">
        <f t="shared" si="61"/>
        <v>1.4460153835094529</v>
      </c>
      <c r="E154" s="34">
        <f t="shared" si="61"/>
        <v>1.3004669452991851</v>
      </c>
      <c r="F154" s="34">
        <f t="shared" si="61"/>
        <v>1.2019908452066275</v>
      </c>
      <c r="G154" s="34">
        <f t="shared" si="61"/>
        <v>0.25036683690292189</v>
      </c>
      <c r="H154" s="34">
        <f t="shared" si="61"/>
        <v>0.50741849407399253</v>
      </c>
      <c r="I154" s="34">
        <f t="shared" si="61"/>
        <v>0.61119153949103033</v>
      </c>
      <c r="J154" s="34">
        <f t="shared" si="61"/>
        <v>0.86475353614655182</v>
      </c>
      <c r="K154" s="34">
        <f t="shared" si="61"/>
        <v>0.99883301633061194</v>
      </c>
      <c r="L154" s="34">
        <f t="shared" si="61"/>
        <v>1.0369770274827994</v>
      </c>
      <c r="M154" s="34">
        <f t="shared" si="61"/>
        <v>1.0006105229818019</v>
      </c>
      <c r="N154" s="34">
        <f t="shared" si="61"/>
        <v>1.0853803249808123</v>
      </c>
      <c r="O154" s="34">
        <f t="shared" si="61"/>
        <v>0.61319594380728193</v>
      </c>
      <c r="P154" s="34">
        <f t="shared" si="61"/>
        <v>0.96498226668976095</v>
      </c>
      <c r="Q154" s="34">
        <f t="shared" si="61"/>
        <v>0.93645685305104798</v>
      </c>
    </row>
    <row r="155" spans="1:17" ht="15" customHeight="1">
      <c r="A155" s="67" t="s">
        <v>184</v>
      </c>
      <c r="B155" s="34">
        <f t="shared" ref="B155:Q155" si="62">B76/B$79</f>
        <v>2.5967281225655674E-4</v>
      </c>
      <c r="C155" s="34">
        <f t="shared" si="62"/>
        <v>-1.1354970166595835E-3</v>
      </c>
      <c r="D155" s="34">
        <f t="shared" si="62"/>
        <v>1.9878753025183906E-3</v>
      </c>
      <c r="E155" s="34">
        <f t="shared" si="62"/>
        <v>-8.6799872440090139E-4</v>
      </c>
      <c r="F155" s="34">
        <f t="shared" si="62"/>
        <v>-5.907033718006576E-3</v>
      </c>
      <c r="G155" s="34">
        <f t="shared" si="62"/>
        <v>-3.9269273453823965E-3</v>
      </c>
      <c r="H155" s="34">
        <f t="shared" si="62"/>
        <v>-5.5974870174848937E-3</v>
      </c>
      <c r="I155" s="34">
        <f t="shared" si="62"/>
        <v>-3.4771359370421116E-3</v>
      </c>
      <c r="J155" s="34">
        <f t="shared" si="62"/>
        <v>-7.2597285863520902E-3</v>
      </c>
      <c r="K155" s="34">
        <f t="shared" si="62"/>
        <v>-6.4408827710413039E-3</v>
      </c>
      <c r="L155" s="34">
        <f t="shared" si="62"/>
        <v>4.8914056358537129E-4</v>
      </c>
      <c r="M155" s="34">
        <f t="shared" si="62"/>
        <v>-8.8618724105625473E-3</v>
      </c>
      <c r="N155" s="34">
        <f t="shared" si="62"/>
        <v>-1.9181356078332542E-2</v>
      </c>
      <c r="O155" s="34">
        <f t="shared" si="62"/>
        <v>-1.2939319190107657E-2</v>
      </c>
      <c r="P155" s="34">
        <f t="shared" si="62"/>
        <v>-3.4911762255882786E-2</v>
      </c>
      <c r="Q155" s="34">
        <f t="shared" si="62"/>
        <v>-6.0908334163417661E-3</v>
      </c>
    </row>
    <row r="156" spans="1:17" ht="15" customHeight="1">
      <c r="A156" s="67" t="s">
        <v>185</v>
      </c>
      <c r="B156" s="34">
        <f t="shared" ref="B156:Q156" si="63">B77/B$79</f>
        <v>-0.22348680520195799</v>
      </c>
      <c r="C156" s="34">
        <f t="shared" si="63"/>
        <v>-0.30698349015229753</v>
      </c>
      <c r="D156" s="34">
        <f t="shared" si="63"/>
        <v>-1.1073375985431193</v>
      </c>
      <c r="E156" s="34">
        <f t="shared" si="63"/>
        <v>-0.86089704465089623</v>
      </c>
      <c r="F156" s="34">
        <f t="shared" si="63"/>
        <v>-0.63494913287344468</v>
      </c>
      <c r="G156" s="34">
        <f t="shared" si="63"/>
        <v>-9.9881409594245629E-2</v>
      </c>
      <c r="H156" s="34">
        <f t="shared" si="63"/>
        <v>-0.67629002345267364</v>
      </c>
      <c r="I156" s="34">
        <f t="shared" si="63"/>
        <v>-0.66168254222698675</v>
      </c>
      <c r="J156" s="34">
        <f t="shared" si="63"/>
        <v>-0.99675583087818986</v>
      </c>
      <c r="K156" s="34">
        <f t="shared" si="63"/>
        <v>-1.0380158652503764</v>
      </c>
      <c r="L156" s="34">
        <f t="shared" si="63"/>
        <v>-0.93756073952120333</v>
      </c>
      <c r="M156" s="34">
        <f t="shared" si="63"/>
        <v>-0.74688204055358864</v>
      </c>
      <c r="N156" s="34">
        <f t="shared" si="63"/>
        <v>-0.79587573050142257</v>
      </c>
      <c r="O156" s="34">
        <f t="shared" si="63"/>
        <v>-0.26494370218743113</v>
      </c>
      <c r="P156" s="34">
        <f t="shared" si="63"/>
        <v>-0.82550324267539865</v>
      </c>
      <c r="Q156" s="34">
        <f t="shared" si="63"/>
        <v>-0.64829458966887898</v>
      </c>
    </row>
    <row r="157" spans="1:17" ht="15" customHeight="1">
      <c r="A157" s="69" t="s">
        <v>186</v>
      </c>
      <c r="B157" s="84">
        <f t="shared" ref="B157:Q157" si="64">B78/B$79</f>
        <v>0.76552469155767644</v>
      </c>
      <c r="C157" s="84">
        <f t="shared" si="64"/>
        <v>0.71870134960463128</v>
      </c>
      <c r="D157" s="84">
        <f t="shared" si="64"/>
        <v>0.61763784055783189</v>
      </c>
      <c r="E157" s="84">
        <f t="shared" si="64"/>
        <v>0.69853763686115333</v>
      </c>
      <c r="F157" s="84">
        <f t="shared" si="64"/>
        <v>0.78145831990200498</v>
      </c>
      <c r="G157" s="84">
        <f t="shared" si="64"/>
        <v>0.86325092074940812</v>
      </c>
      <c r="H157" s="84">
        <f t="shared" si="64"/>
        <v>0.80166901369962618</v>
      </c>
      <c r="I157" s="84">
        <f t="shared" si="64"/>
        <v>0.81302488910484882</v>
      </c>
      <c r="J157" s="84">
        <f t="shared" si="64"/>
        <v>0.79765583045847577</v>
      </c>
      <c r="K157" s="84">
        <f t="shared" si="64"/>
        <v>0.8295529665011252</v>
      </c>
      <c r="L157" s="84">
        <f t="shared" si="64"/>
        <v>0.83203229037086335</v>
      </c>
      <c r="M157" s="84">
        <f t="shared" si="64"/>
        <v>0.84140073575386587</v>
      </c>
      <c r="N157" s="84">
        <f t="shared" si="64"/>
        <v>0.84709418245639001</v>
      </c>
      <c r="O157" s="84">
        <f t="shared" si="64"/>
        <v>0.84950449707335618</v>
      </c>
      <c r="P157" s="84">
        <f t="shared" si="64"/>
        <v>0.77181620784525218</v>
      </c>
      <c r="Q157" s="84">
        <f t="shared" si="64"/>
        <v>0.82632430151532521</v>
      </c>
    </row>
    <row r="158" spans="1:17" ht="15" customHeight="1">
      <c r="A158" s="69" t="s">
        <v>187</v>
      </c>
      <c r="B158" s="84">
        <f t="shared" ref="B158:Q158" si="65">B79/B$79</f>
        <v>1</v>
      </c>
      <c r="C158" s="84">
        <f t="shared" si="65"/>
        <v>1</v>
      </c>
      <c r="D158" s="84">
        <f t="shared" si="65"/>
        <v>1</v>
      </c>
      <c r="E158" s="84">
        <f t="shared" si="65"/>
        <v>1</v>
      </c>
      <c r="F158" s="84">
        <f t="shared" si="65"/>
        <v>1</v>
      </c>
      <c r="G158" s="84">
        <f t="shared" si="65"/>
        <v>1</v>
      </c>
      <c r="H158" s="84">
        <f t="shared" si="65"/>
        <v>1</v>
      </c>
      <c r="I158" s="84">
        <f t="shared" si="65"/>
        <v>1</v>
      </c>
      <c r="J158" s="84">
        <f t="shared" si="65"/>
        <v>1</v>
      </c>
      <c r="K158" s="84">
        <f t="shared" si="65"/>
        <v>1</v>
      </c>
      <c r="L158" s="84">
        <f t="shared" si="65"/>
        <v>1</v>
      </c>
      <c r="M158" s="84">
        <f t="shared" si="65"/>
        <v>1</v>
      </c>
      <c r="N158" s="84">
        <f t="shared" si="65"/>
        <v>1</v>
      </c>
      <c r="O158" s="84">
        <f t="shared" si="65"/>
        <v>1</v>
      </c>
      <c r="P158" s="84">
        <f t="shared" si="65"/>
        <v>1</v>
      </c>
      <c r="Q158" s="84">
        <f t="shared" si="65"/>
        <v>1</v>
      </c>
    </row>
    <row r="174" ht="30" customHeight="1"/>
    <row r="175" ht="30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EC21-EAA7-4D3E-B2A2-71D04FDB6F18}">
  <dimension ref="A1:Q177"/>
  <sheetViews>
    <sheetView zoomScale="70" zoomScaleNormal="70" workbookViewId="0">
      <selection activeCell="K77" sqref="K77"/>
    </sheetView>
  </sheetViews>
  <sheetFormatPr defaultRowHeight="15" customHeight="1"/>
  <cols>
    <col min="1" max="1" width="30.88671875" customWidth="1"/>
    <col min="2" max="3" width="11.33203125" bestFit="1" customWidth="1"/>
    <col min="4" max="6" width="12.6640625" bestFit="1" customWidth="1"/>
    <col min="7" max="7" width="11.33203125" bestFit="1" customWidth="1"/>
    <col min="8" max="17" width="12.6640625" bestFit="1" customWidth="1"/>
  </cols>
  <sheetData>
    <row r="1" spans="1:17" ht="15" customHeight="1">
      <c r="A1" s="79" t="s">
        <v>188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7" ht="15" customHeight="1">
      <c r="A2" s="79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7" ht="15" customHeight="1">
      <c r="A3" s="47" t="s">
        <v>106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17" ht="15" customHeight="1">
      <c r="A4" s="47" t="s">
        <v>107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17" ht="15" customHeight="1">
      <c r="A5" s="47" t="s">
        <v>32</v>
      </c>
      <c r="B5" s="47">
        <v>2010</v>
      </c>
      <c r="C5" s="47">
        <f>B5+1</f>
        <v>2011</v>
      </c>
      <c r="D5" s="47">
        <f t="shared" ref="D5:N5" si="0">C5+1</f>
        <v>2012</v>
      </c>
      <c r="E5" s="47">
        <f t="shared" si="0"/>
        <v>2013</v>
      </c>
      <c r="F5" s="47">
        <f t="shared" si="0"/>
        <v>2014</v>
      </c>
      <c r="G5" s="47">
        <f t="shared" si="0"/>
        <v>2015</v>
      </c>
      <c r="H5" s="47">
        <f t="shared" si="0"/>
        <v>2016</v>
      </c>
      <c r="I5" s="47">
        <f t="shared" si="0"/>
        <v>2017</v>
      </c>
      <c r="J5" s="47">
        <f t="shared" si="0"/>
        <v>2018</v>
      </c>
      <c r="K5" s="47">
        <f t="shared" si="0"/>
        <v>2019</v>
      </c>
      <c r="L5" s="47">
        <f t="shared" si="0"/>
        <v>2020</v>
      </c>
      <c r="M5" s="47">
        <f t="shared" si="0"/>
        <v>2021</v>
      </c>
      <c r="N5" s="47">
        <f t="shared" si="0"/>
        <v>2022</v>
      </c>
      <c r="O5" s="48" t="s">
        <v>122</v>
      </c>
      <c r="P5" s="48" t="s">
        <v>123</v>
      </c>
      <c r="Q5" s="48" t="s">
        <v>108</v>
      </c>
    </row>
    <row r="6" spans="1:17" ht="15" customHeight="1">
      <c r="A6" s="67" t="s">
        <v>142</v>
      </c>
      <c r="B6" s="57">
        <v>1303942</v>
      </c>
      <c r="C6" s="57">
        <v>1703230</v>
      </c>
      <c r="D6" s="57">
        <v>2060702</v>
      </c>
      <c r="E6" s="57">
        <v>2246428</v>
      </c>
      <c r="F6" s="57">
        <v>2464867</v>
      </c>
      <c r="G6" s="57">
        <v>2722564</v>
      </c>
      <c r="H6" s="57">
        <v>3049393</v>
      </c>
      <c r="I6" s="57">
        <v>3369045</v>
      </c>
      <c r="J6" s="57">
        <v>3807183</v>
      </c>
      <c r="K6" s="57">
        <v>4200819</v>
      </c>
      <c r="L6" s="57">
        <v>4598638</v>
      </c>
      <c r="M6" s="57">
        <v>5541352</v>
      </c>
      <c r="N6" s="57">
        <v>6311050</v>
      </c>
      <c r="O6" s="57">
        <v>7140027</v>
      </c>
      <c r="P6" s="57">
        <v>7492709</v>
      </c>
      <c r="Q6" s="57">
        <v>8294343</v>
      </c>
    </row>
    <row r="7" spans="1:17" ht="15" customHeight="1">
      <c r="A7" s="67" t="s">
        <v>109</v>
      </c>
      <c r="B7" s="57">
        <v>623702</v>
      </c>
      <c r="C7" s="57">
        <v>808921</v>
      </c>
      <c r="D7" s="57">
        <v>995046</v>
      </c>
      <c r="E7" s="57">
        <v>1073497</v>
      </c>
      <c r="F7" s="57">
        <v>1125057</v>
      </c>
      <c r="G7" s="57">
        <v>1090263</v>
      </c>
      <c r="H7" s="57">
        <v>1107393</v>
      </c>
      <c r="I7" s="57">
        <v>1231355</v>
      </c>
      <c r="J7" s="57">
        <v>1511808</v>
      </c>
      <c r="K7" s="57">
        <v>1682234</v>
      </c>
      <c r="L7" s="57">
        <v>1874758</v>
      </c>
      <c r="M7" s="57">
        <v>2432839</v>
      </c>
      <c r="N7" s="57">
        <v>3136483</v>
      </c>
      <c r="O7" s="57">
        <v>3345821</v>
      </c>
      <c r="P7" s="57">
        <v>3443831</v>
      </c>
      <c r="Q7" s="57">
        <v>3662148</v>
      </c>
    </row>
    <row r="8" spans="1:17" ht="15" customHeight="1">
      <c r="A8" s="69" t="s">
        <v>143</v>
      </c>
      <c r="B8" s="58">
        <f t="shared" ref="B8:Q8" si="1">B6-B7</f>
        <v>680240</v>
      </c>
      <c r="C8" s="58">
        <f t="shared" si="1"/>
        <v>894309</v>
      </c>
      <c r="D8" s="58">
        <f t="shared" si="1"/>
        <v>1065656</v>
      </c>
      <c r="E8" s="58">
        <f t="shared" si="1"/>
        <v>1172931</v>
      </c>
      <c r="F8" s="58">
        <f t="shared" si="1"/>
        <v>1339810</v>
      </c>
      <c r="G8" s="58">
        <f t="shared" si="1"/>
        <v>1632301</v>
      </c>
      <c r="H8" s="58">
        <f t="shared" si="1"/>
        <v>1942000</v>
      </c>
      <c r="I8" s="58">
        <f t="shared" si="1"/>
        <v>2137690</v>
      </c>
      <c r="J8" s="58">
        <f t="shared" si="1"/>
        <v>2295375</v>
      </c>
      <c r="K8" s="58">
        <f t="shared" si="1"/>
        <v>2518585</v>
      </c>
      <c r="L8" s="58">
        <f t="shared" si="1"/>
        <v>2723880</v>
      </c>
      <c r="M8" s="58">
        <f t="shared" si="1"/>
        <v>3108513</v>
      </c>
      <c r="N8" s="58">
        <f t="shared" si="1"/>
        <v>3174567</v>
      </c>
      <c r="O8" s="58">
        <f t="shared" si="1"/>
        <v>3794206</v>
      </c>
      <c r="P8" s="58">
        <f t="shared" si="1"/>
        <v>4048878</v>
      </c>
      <c r="Q8" s="58">
        <f t="shared" si="1"/>
        <v>4632195</v>
      </c>
    </row>
    <row r="9" spans="1:17" ht="15" customHeight="1">
      <c r="A9" s="68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</row>
    <row r="10" spans="1:17" ht="15" customHeight="1">
      <c r="A10" s="67" t="s">
        <v>144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0</v>
      </c>
      <c r="I10" s="57">
        <v>0</v>
      </c>
      <c r="J10" s="57">
        <v>0</v>
      </c>
      <c r="K10" s="57">
        <v>0</v>
      </c>
      <c r="L10" s="57">
        <v>0</v>
      </c>
      <c r="M10" s="57">
        <v>0</v>
      </c>
      <c r="N10" s="57">
        <v>0</v>
      </c>
      <c r="O10" s="57">
        <v>0</v>
      </c>
      <c r="P10" s="57">
        <v>0</v>
      </c>
      <c r="Q10" s="57">
        <v>0</v>
      </c>
    </row>
    <row r="11" spans="1:17" ht="15" customHeight="1">
      <c r="A11" s="67" t="s">
        <v>145</v>
      </c>
      <c r="B11" s="60">
        <v>47400</v>
      </c>
      <c r="C11" s="60">
        <v>60500</v>
      </c>
      <c r="D11" s="60">
        <v>76100</v>
      </c>
      <c r="E11" s="60">
        <v>84000</v>
      </c>
      <c r="F11" s="60">
        <v>92700</v>
      </c>
      <c r="G11" s="60">
        <v>87000</v>
      </c>
      <c r="H11" s="61">
        <v>83600</v>
      </c>
      <c r="I11" s="61">
        <v>91900</v>
      </c>
      <c r="J11" s="61">
        <v>128500</v>
      </c>
      <c r="K11" s="61">
        <v>122500</v>
      </c>
      <c r="L11" s="61">
        <v>134100</v>
      </c>
      <c r="M11" s="61">
        <v>213900</v>
      </c>
      <c r="N11" s="61">
        <v>249200</v>
      </c>
      <c r="O11" s="61">
        <v>223600</v>
      </c>
      <c r="P11" s="61">
        <v>224200</v>
      </c>
      <c r="Q11" s="61">
        <v>237000</v>
      </c>
    </row>
    <row r="12" spans="1:17" ht="15" customHeight="1">
      <c r="A12" s="67" t="s">
        <v>146</v>
      </c>
      <c r="B12" s="60">
        <v>104900</v>
      </c>
      <c r="C12" s="60">
        <v>148800</v>
      </c>
      <c r="D12" s="60">
        <v>165400</v>
      </c>
      <c r="E12" s="60">
        <v>181800</v>
      </c>
      <c r="F12" s="60">
        <v>171500</v>
      </c>
      <c r="G12" s="60">
        <v>209700</v>
      </c>
      <c r="H12" s="61">
        <v>270600</v>
      </c>
      <c r="I12" s="61">
        <v>324000</v>
      </c>
      <c r="J12" s="61">
        <v>353900</v>
      </c>
      <c r="K12" s="61">
        <v>391600</v>
      </c>
      <c r="L12" s="61">
        <v>345700</v>
      </c>
      <c r="M12" s="61">
        <v>417600</v>
      </c>
      <c r="N12" s="61">
        <v>460700</v>
      </c>
      <c r="O12" s="61">
        <v>528900</v>
      </c>
      <c r="P12" s="61">
        <v>584100</v>
      </c>
      <c r="Q12" s="61">
        <v>599900</v>
      </c>
    </row>
    <row r="13" spans="1:17" ht="15" customHeight="1">
      <c r="A13" s="67" t="s">
        <v>147</v>
      </c>
      <c r="B13" s="62">
        <v>180126</v>
      </c>
      <c r="C13" s="62">
        <v>228586</v>
      </c>
      <c r="D13" s="62">
        <v>273533</v>
      </c>
      <c r="E13" s="62">
        <v>334215</v>
      </c>
      <c r="F13" s="62">
        <v>328105</v>
      </c>
      <c r="G13" s="62">
        <v>603418</v>
      </c>
      <c r="H13" s="62">
        <v>502462</v>
      </c>
      <c r="I13" s="62">
        <v>523003</v>
      </c>
      <c r="J13" s="62">
        <v>529356</v>
      </c>
      <c r="K13" s="62">
        <v>601546</v>
      </c>
      <c r="L13" s="62">
        <v>610927</v>
      </c>
      <c r="M13" s="62">
        <v>679546</v>
      </c>
      <c r="N13" s="62">
        <v>879946</v>
      </c>
      <c r="O13" s="62">
        <v>1088351</v>
      </c>
      <c r="P13" s="62">
        <v>1310284</v>
      </c>
      <c r="Q13" s="62">
        <v>1375941</v>
      </c>
    </row>
    <row r="14" spans="1:17" ht="15" customHeight="1">
      <c r="A14" s="75" t="s">
        <v>148</v>
      </c>
      <c r="B14" s="63">
        <f t="shared" ref="B14:Q14" si="2">B13+B12+B11+B10</f>
        <v>332426</v>
      </c>
      <c r="C14" s="63">
        <f t="shared" si="2"/>
        <v>437886</v>
      </c>
      <c r="D14" s="63">
        <f t="shared" si="2"/>
        <v>515033</v>
      </c>
      <c r="E14" s="63">
        <f t="shared" si="2"/>
        <v>600015</v>
      </c>
      <c r="F14" s="63">
        <f t="shared" si="2"/>
        <v>592305</v>
      </c>
      <c r="G14" s="63">
        <f t="shared" si="2"/>
        <v>900118</v>
      </c>
      <c r="H14" s="63">
        <f t="shared" si="2"/>
        <v>856662</v>
      </c>
      <c r="I14" s="63">
        <f t="shared" si="2"/>
        <v>938903</v>
      </c>
      <c r="J14" s="63">
        <f t="shared" si="2"/>
        <v>1011756</v>
      </c>
      <c r="K14" s="63">
        <f t="shared" si="2"/>
        <v>1115646</v>
      </c>
      <c r="L14" s="63">
        <f t="shared" si="2"/>
        <v>1090727</v>
      </c>
      <c r="M14" s="63">
        <f t="shared" si="2"/>
        <v>1311046</v>
      </c>
      <c r="N14" s="63">
        <f t="shared" si="2"/>
        <v>1589846</v>
      </c>
      <c r="O14" s="63">
        <f t="shared" si="2"/>
        <v>1840851</v>
      </c>
      <c r="P14" s="63">
        <f t="shared" si="2"/>
        <v>2118584</v>
      </c>
      <c r="Q14" s="63">
        <f t="shared" si="2"/>
        <v>2212841</v>
      </c>
    </row>
    <row r="15" spans="1:17" ht="15" customHeight="1">
      <c r="A15" s="69" t="s">
        <v>149</v>
      </c>
      <c r="B15" s="58">
        <f t="shared" ref="B15:Q15" si="3">B8-B14</f>
        <v>347814</v>
      </c>
      <c r="C15" s="58">
        <f t="shared" si="3"/>
        <v>456423</v>
      </c>
      <c r="D15" s="58">
        <f t="shared" si="3"/>
        <v>550623</v>
      </c>
      <c r="E15" s="58">
        <f t="shared" si="3"/>
        <v>572916</v>
      </c>
      <c r="F15" s="58">
        <f t="shared" si="3"/>
        <v>747505</v>
      </c>
      <c r="G15" s="58">
        <f t="shared" si="3"/>
        <v>732183</v>
      </c>
      <c r="H15" s="58">
        <f t="shared" si="3"/>
        <v>1085338</v>
      </c>
      <c r="I15" s="58">
        <f t="shared" si="3"/>
        <v>1198787</v>
      </c>
      <c r="J15" s="58">
        <f t="shared" si="3"/>
        <v>1283619</v>
      </c>
      <c r="K15" s="58">
        <f t="shared" si="3"/>
        <v>1402939</v>
      </c>
      <c r="L15" s="58">
        <f t="shared" si="3"/>
        <v>1633153</v>
      </c>
      <c r="M15" s="58">
        <f t="shared" si="3"/>
        <v>1797467</v>
      </c>
      <c r="N15" s="58">
        <f t="shared" si="3"/>
        <v>1584721</v>
      </c>
      <c r="O15" s="58">
        <f t="shared" si="3"/>
        <v>1953355</v>
      </c>
      <c r="P15" s="58">
        <f t="shared" si="3"/>
        <v>1930294</v>
      </c>
      <c r="Q15" s="58">
        <f t="shared" si="3"/>
        <v>2419354</v>
      </c>
    </row>
    <row r="16" spans="1:17" ht="15" customHeight="1">
      <c r="A16" s="6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spans="1:17" ht="15" customHeight="1">
      <c r="A17" s="67" t="s">
        <v>150</v>
      </c>
      <c r="B17" s="57">
        <v>0</v>
      </c>
      <c r="C17" s="57">
        <v>0</v>
      </c>
      <c r="D17" s="57">
        <v>0</v>
      </c>
      <c r="E17" s="57"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57">
        <v>0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</row>
    <row r="18" spans="1:17" ht="15" customHeight="1">
      <c r="A18" s="67" t="s">
        <v>151</v>
      </c>
      <c r="B18" s="57">
        <v>0</v>
      </c>
      <c r="C18" s="57">
        <v>0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</row>
    <row r="19" spans="1:17" ht="15" customHeight="1">
      <c r="A19" s="67" t="s">
        <v>152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64">
        <v>-2105</v>
      </c>
      <c r="H19" s="64">
        <v>-5653</v>
      </c>
      <c r="I19" s="57">
        <v>2836</v>
      </c>
      <c r="J19" s="57">
        <v>9653</v>
      </c>
      <c r="K19" s="57">
        <v>13023</v>
      </c>
      <c r="L19" s="64">
        <v>-6996</v>
      </c>
      <c r="M19" s="57">
        <v>3952</v>
      </c>
      <c r="N19" s="64">
        <v>-12757</v>
      </c>
      <c r="O19" s="57">
        <v>115127</v>
      </c>
      <c r="P19" s="57">
        <v>59165</v>
      </c>
      <c r="Q19" s="57">
        <v>63175</v>
      </c>
    </row>
    <row r="20" spans="1:17" ht="15" customHeight="1">
      <c r="A20" s="69" t="s">
        <v>153</v>
      </c>
      <c r="B20" s="65">
        <f t="shared" ref="B20:Q20" si="4">B15-B18+B17-B19</f>
        <v>347814</v>
      </c>
      <c r="C20" s="65">
        <f t="shared" si="4"/>
        <v>456423</v>
      </c>
      <c r="D20" s="65">
        <f t="shared" si="4"/>
        <v>550623</v>
      </c>
      <c r="E20" s="65">
        <f t="shared" si="4"/>
        <v>572916</v>
      </c>
      <c r="F20" s="65">
        <f t="shared" si="4"/>
        <v>747505</v>
      </c>
      <c r="G20" s="65">
        <f t="shared" si="4"/>
        <v>734288</v>
      </c>
      <c r="H20" s="65">
        <f t="shared" si="4"/>
        <v>1090991</v>
      </c>
      <c r="I20" s="65">
        <f t="shared" si="4"/>
        <v>1195951</v>
      </c>
      <c r="J20" s="65">
        <f t="shared" si="4"/>
        <v>1273966</v>
      </c>
      <c r="K20" s="65">
        <f t="shared" si="4"/>
        <v>1389916</v>
      </c>
      <c r="L20" s="65">
        <f t="shared" si="4"/>
        <v>1640149</v>
      </c>
      <c r="M20" s="65">
        <f t="shared" si="4"/>
        <v>1793515</v>
      </c>
      <c r="N20" s="65">
        <f t="shared" si="4"/>
        <v>1597478</v>
      </c>
      <c r="O20" s="65">
        <f t="shared" si="4"/>
        <v>1838228</v>
      </c>
      <c r="P20" s="65">
        <f t="shared" si="4"/>
        <v>1871129</v>
      </c>
      <c r="Q20" s="65">
        <f t="shared" si="4"/>
        <v>2356179</v>
      </c>
    </row>
    <row r="21" spans="1:17" ht="15" customHeight="1">
      <c r="A21" s="6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</row>
    <row r="22" spans="1:17" ht="15" customHeight="1">
      <c r="A22" s="67" t="s">
        <v>154</v>
      </c>
      <c r="B22" s="57">
        <v>137273</v>
      </c>
      <c r="C22" s="57">
        <v>171051</v>
      </c>
      <c r="D22" s="57">
        <v>209134</v>
      </c>
      <c r="E22" s="57">
        <v>225233</v>
      </c>
      <c r="F22" s="57">
        <v>262603</v>
      </c>
      <c r="G22" s="57">
        <v>344815</v>
      </c>
      <c r="H22" s="57">
        <v>367000</v>
      </c>
      <c r="I22" s="57">
        <v>380945</v>
      </c>
      <c r="J22" s="57">
        <v>300268</v>
      </c>
      <c r="K22" s="57">
        <v>308127</v>
      </c>
      <c r="L22" s="57">
        <v>216563</v>
      </c>
      <c r="M22" s="57">
        <v>423944</v>
      </c>
      <c r="N22" s="57">
        <v>380340</v>
      </c>
      <c r="O22" s="57">
        <v>437494</v>
      </c>
      <c r="P22" s="57">
        <v>480411</v>
      </c>
      <c r="Q22" s="57">
        <v>577097</v>
      </c>
    </row>
    <row r="23" spans="1:17" ht="15" customHeight="1">
      <c r="A23" s="69" t="s">
        <v>155</v>
      </c>
      <c r="B23" s="58">
        <f t="shared" ref="B23:Q23" si="5">B20-B22</f>
        <v>210541</v>
      </c>
      <c r="C23" s="58">
        <f t="shared" si="5"/>
        <v>285372</v>
      </c>
      <c r="D23" s="58">
        <f t="shared" si="5"/>
        <v>341489</v>
      </c>
      <c r="E23" s="58">
        <f t="shared" si="5"/>
        <v>347683</v>
      </c>
      <c r="F23" s="58">
        <f t="shared" si="5"/>
        <v>484902</v>
      </c>
      <c r="G23" s="58">
        <f t="shared" si="5"/>
        <v>389473</v>
      </c>
      <c r="H23" s="58">
        <f t="shared" si="5"/>
        <v>723991</v>
      </c>
      <c r="I23" s="58">
        <f t="shared" si="5"/>
        <v>815006</v>
      </c>
      <c r="J23" s="58">
        <f t="shared" si="5"/>
        <v>973698</v>
      </c>
      <c r="K23" s="58">
        <f t="shared" si="5"/>
        <v>1081789</v>
      </c>
      <c r="L23" s="58">
        <f t="shared" si="5"/>
        <v>1423586</v>
      </c>
      <c r="M23" s="58">
        <f t="shared" si="5"/>
        <v>1369571</v>
      </c>
      <c r="N23" s="58">
        <f t="shared" si="5"/>
        <v>1217138</v>
      </c>
      <c r="O23" s="58">
        <f t="shared" si="5"/>
        <v>1400734</v>
      </c>
      <c r="P23" s="58">
        <f t="shared" si="5"/>
        <v>1390718</v>
      </c>
      <c r="Q23" s="58">
        <f t="shared" si="5"/>
        <v>1779082</v>
      </c>
    </row>
    <row r="27" spans="1:17" ht="15" customHeight="1">
      <c r="A27" s="47" t="s">
        <v>106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</row>
    <row r="28" spans="1:17" ht="15" customHeight="1">
      <c r="A28" s="47" t="s">
        <v>137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</row>
    <row r="29" spans="1:17" ht="15" customHeight="1">
      <c r="A29" s="47"/>
      <c r="B29" s="47">
        <v>2010</v>
      </c>
      <c r="C29" s="47">
        <f>B29+1</f>
        <v>2011</v>
      </c>
      <c r="D29" s="47">
        <f t="shared" ref="D29:N29" si="6">C29+1</f>
        <v>2012</v>
      </c>
      <c r="E29" s="47">
        <f t="shared" si="6"/>
        <v>2013</v>
      </c>
      <c r="F29" s="47">
        <f t="shared" si="6"/>
        <v>2014</v>
      </c>
      <c r="G29" s="47">
        <f t="shared" si="6"/>
        <v>2015</v>
      </c>
      <c r="H29" s="47">
        <f t="shared" si="6"/>
        <v>2016</v>
      </c>
      <c r="I29" s="47">
        <f t="shared" si="6"/>
        <v>2017</v>
      </c>
      <c r="J29" s="47">
        <f t="shared" si="6"/>
        <v>2018</v>
      </c>
      <c r="K29" s="47">
        <f t="shared" si="6"/>
        <v>2019</v>
      </c>
      <c r="L29" s="47">
        <f t="shared" si="6"/>
        <v>2020</v>
      </c>
      <c r="M29" s="47">
        <f t="shared" si="6"/>
        <v>2021</v>
      </c>
      <c r="N29" s="47">
        <f t="shared" si="6"/>
        <v>2022</v>
      </c>
      <c r="O29" s="47">
        <v>2023</v>
      </c>
      <c r="P29" s="47">
        <f>O29+1</f>
        <v>2024</v>
      </c>
      <c r="Q29" s="47">
        <f t="shared" ref="Q29" si="7">P29+1</f>
        <v>2025</v>
      </c>
    </row>
    <row r="30" spans="1:17" ht="15" customHeight="1">
      <c r="A30" s="70" t="s">
        <v>189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</row>
    <row r="31" spans="1:17" ht="15" customHeight="1">
      <c r="A31" s="67" t="s">
        <v>124</v>
      </c>
      <c r="B31" s="57">
        <v>354842</v>
      </c>
      <c r="C31" s="57">
        <v>359331</v>
      </c>
      <c r="D31" s="57">
        <v>222514</v>
      </c>
      <c r="E31" s="57">
        <v>211349</v>
      </c>
      <c r="F31" s="57">
        <v>370323</v>
      </c>
      <c r="G31" s="57">
        <v>2175417</v>
      </c>
      <c r="H31" s="57">
        <v>377582</v>
      </c>
      <c r="I31" s="57">
        <v>528622</v>
      </c>
      <c r="J31" s="57">
        <v>637513</v>
      </c>
      <c r="K31" s="57">
        <v>797957</v>
      </c>
      <c r="L31" s="57">
        <v>1180413</v>
      </c>
      <c r="M31" s="57">
        <v>1326462</v>
      </c>
      <c r="N31" s="57">
        <v>1307141</v>
      </c>
      <c r="O31" s="57">
        <v>2297675</v>
      </c>
      <c r="P31" s="57">
        <v>1533287</v>
      </c>
      <c r="Q31" s="57">
        <v>2088117</v>
      </c>
    </row>
    <row r="32" spans="1:17" ht="15" customHeight="1">
      <c r="A32" s="67" t="s">
        <v>125</v>
      </c>
      <c r="B32" s="57">
        <v>244649</v>
      </c>
      <c r="C32" s="57">
        <v>411282</v>
      </c>
      <c r="D32" s="57">
        <v>97042</v>
      </c>
      <c r="E32" s="57">
        <v>402247</v>
      </c>
      <c r="F32" s="57">
        <v>781134</v>
      </c>
      <c r="G32" s="57">
        <v>744610</v>
      </c>
      <c r="H32" s="57">
        <v>220554</v>
      </c>
      <c r="I32" s="57">
        <v>672933</v>
      </c>
      <c r="J32" s="57">
        <v>320650</v>
      </c>
      <c r="K32" s="57">
        <v>533063</v>
      </c>
      <c r="L32" s="57">
        <v>881354</v>
      </c>
      <c r="M32" s="57">
        <v>1749727</v>
      </c>
      <c r="N32" s="57">
        <v>1362314</v>
      </c>
      <c r="O32" s="57">
        <v>955605</v>
      </c>
      <c r="P32" s="57">
        <v>0</v>
      </c>
      <c r="Q32" s="57">
        <v>677084</v>
      </c>
    </row>
    <row r="33" spans="1:17" ht="15" customHeight="1">
      <c r="A33" s="67" t="s">
        <v>126</v>
      </c>
      <c r="B33" s="57">
        <v>101635</v>
      </c>
      <c r="C33" s="57">
        <v>218741</v>
      </c>
      <c r="D33" s="57">
        <v>236710</v>
      </c>
      <c r="E33" s="57">
        <f>291638+4542</f>
        <v>296180</v>
      </c>
      <c r="F33" s="57">
        <f>280203+552</f>
        <v>280755</v>
      </c>
      <c r="G33" s="57">
        <f>352955+125000</f>
        <v>477955</v>
      </c>
      <c r="H33" s="57">
        <f>448051+125000</f>
        <v>573051</v>
      </c>
      <c r="I33" s="57">
        <v>449476</v>
      </c>
      <c r="J33" s="57">
        <v>484562</v>
      </c>
      <c r="K33" s="57">
        <v>540330</v>
      </c>
      <c r="L33" s="57">
        <v>666012</v>
      </c>
      <c r="M33" s="57">
        <v>896658</v>
      </c>
      <c r="N33" s="57">
        <v>1016203</v>
      </c>
      <c r="O33" s="57">
        <v>1193964</v>
      </c>
      <c r="P33" s="57">
        <v>1221646</v>
      </c>
      <c r="Q33" s="57">
        <v>1618072</v>
      </c>
    </row>
    <row r="34" spans="1:17" ht="15" customHeight="1">
      <c r="A34" s="67" t="s">
        <v>127</v>
      </c>
      <c r="B34" s="57">
        <v>153241</v>
      </c>
      <c r="C34" s="57">
        <v>155613</v>
      </c>
      <c r="D34" s="57">
        <v>203106</v>
      </c>
      <c r="E34" s="57">
        <v>221449</v>
      </c>
      <c r="F34" s="57">
        <v>174573</v>
      </c>
      <c r="G34" s="57">
        <v>156121</v>
      </c>
      <c r="H34" s="57">
        <v>161971</v>
      </c>
      <c r="I34" s="57">
        <v>255745</v>
      </c>
      <c r="J34" s="57">
        <v>277705</v>
      </c>
      <c r="K34" s="57">
        <v>360731</v>
      </c>
      <c r="L34" s="57">
        <v>333085</v>
      </c>
      <c r="M34" s="57">
        <v>593357</v>
      </c>
      <c r="N34" s="57">
        <v>935631</v>
      </c>
      <c r="O34" s="57">
        <v>971406</v>
      </c>
      <c r="P34" s="57">
        <v>737107</v>
      </c>
      <c r="Q34" s="57">
        <v>799623</v>
      </c>
    </row>
    <row r="35" spans="1:17" ht="15" customHeight="1">
      <c r="A35" s="67" t="s">
        <v>128</v>
      </c>
      <c r="B35" s="57">
        <v>17022</v>
      </c>
      <c r="C35" s="57">
        <v>20912</v>
      </c>
      <c r="D35" s="57">
        <v>24983</v>
      </c>
      <c r="E35" s="57">
        <v>21376</v>
      </c>
      <c r="F35" s="57">
        <v>19673</v>
      </c>
      <c r="G35" s="57">
        <v>26967</v>
      </c>
      <c r="H35" s="57">
        <v>32562</v>
      </c>
      <c r="I35" s="57">
        <v>40877</v>
      </c>
      <c r="J35" s="57">
        <v>44909</v>
      </c>
      <c r="K35" s="57">
        <v>54868</v>
      </c>
      <c r="L35" s="57">
        <v>55358</v>
      </c>
      <c r="M35" s="57">
        <v>82668</v>
      </c>
      <c r="N35" s="57">
        <v>109823</v>
      </c>
      <c r="O35" s="57">
        <v>116195</v>
      </c>
      <c r="P35" s="57">
        <v>107262</v>
      </c>
      <c r="Q35" s="57">
        <v>103551</v>
      </c>
    </row>
    <row r="36" spans="1:17" ht="15" customHeight="1">
      <c r="A36" s="67" t="s">
        <v>157</v>
      </c>
      <c r="B36" s="57"/>
      <c r="C36" s="57"/>
      <c r="D36" s="57"/>
      <c r="E36" s="57">
        <v>0</v>
      </c>
      <c r="F36" s="57">
        <v>18079</v>
      </c>
      <c r="G36" s="57">
        <v>0</v>
      </c>
      <c r="H36" s="57">
        <v>0</v>
      </c>
      <c r="I36" s="57"/>
      <c r="J36" s="57"/>
      <c r="K36" s="57"/>
      <c r="L36" s="57"/>
      <c r="M36" s="57"/>
      <c r="N36" s="57"/>
      <c r="O36" s="57"/>
      <c r="P36" s="57"/>
      <c r="Q36" s="57"/>
    </row>
    <row r="37" spans="1:17" ht="15" customHeight="1">
      <c r="A37" s="67" t="s">
        <v>158</v>
      </c>
      <c r="B37" s="57">
        <v>9992</v>
      </c>
      <c r="C37" s="57">
        <v>370</v>
      </c>
      <c r="D37" s="57">
        <v>33709</v>
      </c>
      <c r="E37" s="57">
        <v>9518</v>
      </c>
      <c r="F37" s="57">
        <v>8617</v>
      </c>
      <c r="G37" s="57">
        <v>18462</v>
      </c>
      <c r="H37" s="57">
        <v>66550</v>
      </c>
      <c r="I37" s="57">
        <v>138724</v>
      </c>
      <c r="J37" s="57">
        <v>38831</v>
      </c>
      <c r="K37" s="57"/>
      <c r="L37" s="57">
        <v>24733</v>
      </c>
      <c r="M37" s="57">
        <v>33238</v>
      </c>
      <c r="N37" s="57">
        <v>33785</v>
      </c>
      <c r="O37" s="57">
        <v>54151</v>
      </c>
      <c r="P37" s="57">
        <v>42202</v>
      </c>
      <c r="Q37" s="57">
        <v>74637</v>
      </c>
    </row>
    <row r="38" spans="1:17" ht="15" customHeight="1">
      <c r="A38" s="67" t="s">
        <v>159</v>
      </c>
      <c r="B38" s="57">
        <v>16772</v>
      </c>
      <c r="C38" s="57">
        <v>16428</v>
      </c>
      <c r="D38" s="57">
        <v>17004</v>
      </c>
      <c r="E38" s="57">
        <v>20924</v>
      </c>
      <c r="F38" s="57">
        <v>40275</v>
      </c>
      <c r="G38" s="57">
        <v>0</v>
      </c>
      <c r="H38" s="57">
        <v>0</v>
      </c>
      <c r="I38" s="57"/>
      <c r="J38" s="57"/>
      <c r="K38" s="57"/>
      <c r="L38" s="57"/>
      <c r="M38" s="57"/>
      <c r="N38" s="57"/>
      <c r="O38" s="57"/>
      <c r="P38" s="57"/>
      <c r="Q38" s="57"/>
    </row>
    <row r="39" spans="1:17" ht="15" customHeight="1">
      <c r="A39" s="69" t="s">
        <v>129</v>
      </c>
      <c r="B39" s="65">
        <f t="shared" ref="B39:Q39" si="8">B38+B35+B34+B33+B32+B31+B37+B36</f>
        <v>898153</v>
      </c>
      <c r="C39" s="65">
        <f t="shared" si="8"/>
        <v>1182677</v>
      </c>
      <c r="D39" s="65">
        <f t="shared" si="8"/>
        <v>835068</v>
      </c>
      <c r="E39" s="65">
        <f t="shared" si="8"/>
        <v>1183043</v>
      </c>
      <c r="F39" s="65">
        <f t="shared" si="8"/>
        <v>1693429</v>
      </c>
      <c r="G39" s="65">
        <f t="shared" si="8"/>
        <v>3599532</v>
      </c>
      <c r="H39" s="65">
        <f t="shared" si="8"/>
        <v>1432270</v>
      </c>
      <c r="I39" s="65">
        <f t="shared" si="8"/>
        <v>2086377</v>
      </c>
      <c r="J39" s="65">
        <f t="shared" si="8"/>
        <v>1804170</v>
      </c>
      <c r="K39" s="65">
        <f t="shared" si="8"/>
        <v>2286949</v>
      </c>
      <c r="L39" s="65">
        <f t="shared" si="8"/>
        <v>3140955</v>
      </c>
      <c r="M39" s="65">
        <f t="shared" si="8"/>
        <v>4682110</v>
      </c>
      <c r="N39" s="65">
        <f t="shared" si="8"/>
        <v>4764897</v>
      </c>
      <c r="O39" s="65">
        <f t="shared" si="8"/>
        <v>5588996</v>
      </c>
      <c r="P39" s="65">
        <f t="shared" si="8"/>
        <v>3641504</v>
      </c>
      <c r="Q39" s="65">
        <f t="shared" si="8"/>
        <v>5361084</v>
      </c>
    </row>
    <row r="40" spans="1:17" ht="15" customHeight="1">
      <c r="A40" s="70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</row>
    <row r="41" spans="1:17" ht="15" customHeight="1">
      <c r="A41" s="70" t="s">
        <v>160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</row>
    <row r="42" spans="1:17" ht="15" customHeight="1">
      <c r="A42" s="67" t="s">
        <v>161</v>
      </c>
      <c r="B42" s="61">
        <v>44189</v>
      </c>
      <c r="C42" s="61">
        <v>23194</v>
      </c>
      <c r="D42" s="61">
        <v>21393</v>
      </c>
      <c r="E42" s="61">
        <v>9792</v>
      </c>
      <c r="F42" s="61">
        <v>42940</v>
      </c>
      <c r="G42" s="61">
        <v>15348</v>
      </c>
      <c r="H42" s="61">
        <v>2394</v>
      </c>
      <c r="I42" s="61">
        <v>2366</v>
      </c>
      <c r="J42" s="61"/>
      <c r="K42" s="61"/>
      <c r="L42" s="61">
        <v>44291</v>
      </c>
      <c r="M42" s="61">
        <v>99419</v>
      </c>
      <c r="N42" s="61">
        <v>61443</v>
      </c>
      <c r="O42" s="61">
        <v>76431</v>
      </c>
      <c r="P42" s="61">
        <v>0</v>
      </c>
      <c r="Q42" s="61">
        <v>48329</v>
      </c>
    </row>
    <row r="43" spans="1:17" ht="15" customHeight="1">
      <c r="A43" s="67" t="s">
        <v>162</v>
      </c>
      <c r="B43" s="57">
        <v>34551</v>
      </c>
      <c r="C43" s="57">
        <v>45151</v>
      </c>
      <c r="D43" s="57">
        <v>69137</v>
      </c>
      <c r="E43" s="57">
        <v>88143</v>
      </c>
      <c r="F43" s="57">
        <v>90156</v>
      </c>
      <c r="G43" s="57">
        <v>97354</v>
      </c>
      <c r="H43" s="57">
        <v>173343</v>
      </c>
      <c r="I43" s="57">
        <v>230276</v>
      </c>
      <c r="J43" s="57">
        <v>243051</v>
      </c>
      <c r="K43" s="57">
        <v>298640</v>
      </c>
      <c r="L43" s="57">
        <v>314656</v>
      </c>
      <c r="M43" s="57">
        <v>313753</v>
      </c>
      <c r="N43" s="57">
        <v>516897</v>
      </c>
      <c r="O43" s="57">
        <v>890796</v>
      </c>
      <c r="P43" s="57">
        <v>1047024</v>
      </c>
      <c r="Q43" s="57">
        <v>1081544</v>
      </c>
    </row>
    <row r="44" spans="1:17" ht="15" customHeight="1">
      <c r="A44" s="67" t="s">
        <v>163</v>
      </c>
      <c r="B44" s="57">
        <v>58475</v>
      </c>
      <c r="C44" s="57">
        <v>58576</v>
      </c>
      <c r="D44" s="57">
        <v>59503</v>
      </c>
      <c r="E44" s="57">
        <v>63611</v>
      </c>
      <c r="F44" s="57">
        <v>54106</v>
      </c>
      <c r="G44" s="57">
        <v>140468</v>
      </c>
      <c r="H44" s="57">
        <v>159556</v>
      </c>
      <c r="I44" s="57">
        <v>92333</v>
      </c>
      <c r="J44" s="57">
        <v>85687</v>
      </c>
      <c r="K44" s="57"/>
      <c r="L44" s="57">
        <v>241650</v>
      </c>
      <c r="M44" s="57">
        <v>225221</v>
      </c>
      <c r="N44" s="57">
        <v>177039</v>
      </c>
      <c r="O44" s="57">
        <v>175003</v>
      </c>
      <c r="P44" s="57">
        <v>184260</v>
      </c>
      <c r="Q44" s="57">
        <v>188646</v>
      </c>
    </row>
    <row r="45" spans="1:17" ht="15" customHeight="1">
      <c r="A45" s="67" t="s">
        <v>164</v>
      </c>
      <c r="B45" s="57">
        <v>43316</v>
      </c>
      <c r="C45" s="57">
        <v>48396</v>
      </c>
      <c r="D45" s="57">
        <v>54648</v>
      </c>
      <c r="E45" s="57">
        <v>65774</v>
      </c>
      <c r="F45" s="57">
        <v>50748</v>
      </c>
      <c r="G45" s="57">
        <v>427986</v>
      </c>
      <c r="H45" s="57">
        <v>1032635</v>
      </c>
      <c r="I45" s="57">
        <v>1034085</v>
      </c>
      <c r="J45" s="57">
        <v>1045878</v>
      </c>
      <c r="K45" s="57">
        <v>1052105</v>
      </c>
      <c r="L45" s="57">
        <v>1059046</v>
      </c>
      <c r="M45" s="57">
        <v>1072386</v>
      </c>
      <c r="N45" s="57">
        <v>1220410</v>
      </c>
      <c r="O45" s="57">
        <v>1427139</v>
      </c>
      <c r="P45" s="57">
        <v>1414252</v>
      </c>
      <c r="Q45" s="57">
        <v>1379268</v>
      </c>
    </row>
    <row r="46" spans="1:17" ht="15" customHeight="1">
      <c r="A46" s="67" t="s">
        <v>165</v>
      </c>
      <c r="B46" s="57">
        <v>0</v>
      </c>
      <c r="C46" s="57">
        <v>0</v>
      </c>
      <c r="D46" s="57">
        <v>0</v>
      </c>
      <c r="E46" s="57">
        <v>0</v>
      </c>
      <c r="F46" s="57">
        <v>0</v>
      </c>
      <c r="G46" s="57">
        <v>1279715</v>
      </c>
      <c r="H46" s="57">
        <v>1331643</v>
      </c>
      <c r="I46" s="57">
        <v>1331643</v>
      </c>
      <c r="J46" s="57">
        <v>1331643</v>
      </c>
      <c r="K46" s="57">
        <v>1331643</v>
      </c>
      <c r="L46" s="57">
        <v>1331643</v>
      </c>
      <c r="M46" s="57">
        <v>1331643</v>
      </c>
      <c r="N46" s="57">
        <v>1417941</v>
      </c>
      <c r="O46" s="57">
        <v>1417941</v>
      </c>
      <c r="P46" s="57">
        <v>1331643</v>
      </c>
      <c r="Q46" s="57">
        <v>1331643</v>
      </c>
    </row>
    <row r="47" spans="1:17" ht="15" customHeight="1">
      <c r="A47" s="67" t="s">
        <v>166</v>
      </c>
      <c r="B47" s="57">
        <v>3447</v>
      </c>
      <c r="C47" s="57">
        <v>4405</v>
      </c>
      <c r="D47" s="57">
        <v>3576</v>
      </c>
      <c r="E47" s="57">
        <v>10146</v>
      </c>
      <c r="F47" s="57">
        <v>7496</v>
      </c>
      <c r="G47" s="57">
        <v>10874</v>
      </c>
      <c r="H47" s="57">
        <v>21630</v>
      </c>
      <c r="I47" s="57">
        <v>13932</v>
      </c>
      <c r="J47" s="57">
        <v>16462</v>
      </c>
      <c r="K47" s="57">
        <v>53973</v>
      </c>
      <c r="L47" s="57">
        <v>70475</v>
      </c>
      <c r="M47" s="57">
        <v>80252</v>
      </c>
      <c r="N47" s="57">
        <v>134478</v>
      </c>
      <c r="O47" s="57">
        <v>110216</v>
      </c>
      <c r="P47" s="57">
        <v>100406</v>
      </c>
      <c r="Q47" s="57">
        <v>159431</v>
      </c>
    </row>
    <row r="48" spans="1:17" ht="15" customHeight="1">
      <c r="A48" s="67" t="s">
        <v>167</v>
      </c>
      <c r="B48" s="61">
        <f t="shared" ref="B48:Q48" si="9">B47+B46+B45+B43+B44+B42</f>
        <v>183978</v>
      </c>
      <c r="C48" s="61">
        <f t="shared" si="9"/>
        <v>179722</v>
      </c>
      <c r="D48" s="61">
        <f t="shared" si="9"/>
        <v>208257</v>
      </c>
      <c r="E48" s="61">
        <f t="shared" si="9"/>
        <v>237466</v>
      </c>
      <c r="F48" s="61">
        <f t="shared" si="9"/>
        <v>245446</v>
      </c>
      <c r="G48" s="61">
        <f t="shared" si="9"/>
        <v>1971745</v>
      </c>
      <c r="H48" s="61">
        <f t="shared" si="9"/>
        <v>2721201</v>
      </c>
      <c r="I48" s="61">
        <f t="shared" si="9"/>
        <v>2704635</v>
      </c>
      <c r="J48" s="61">
        <f t="shared" si="9"/>
        <v>2722721</v>
      </c>
      <c r="K48" s="61">
        <f t="shared" si="9"/>
        <v>2736361</v>
      </c>
      <c r="L48" s="61">
        <f t="shared" si="9"/>
        <v>3061761</v>
      </c>
      <c r="M48" s="61">
        <f t="shared" si="9"/>
        <v>3122674</v>
      </c>
      <c r="N48" s="61">
        <f t="shared" si="9"/>
        <v>3528208</v>
      </c>
      <c r="O48" s="61">
        <f t="shared" si="9"/>
        <v>4097526</v>
      </c>
      <c r="P48" s="61">
        <f t="shared" si="9"/>
        <v>4077585</v>
      </c>
      <c r="Q48" s="61">
        <f t="shared" si="9"/>
        <v>4188861</v>
      </c>
    </row>
    <row r="49" spans="1:17" ht="15" customHeight="1">
      <c r="A49" s="76" t="s">
        <v>168</v>
      </c>
      <c r="B49" s="80">
        <f t="shared" ref="B49:Q49" si="10">B48+B39</f>
        <v>1082131</v>
      </c>
      <c r="C49" s="80">
        <f t="shared" si="10"/>
        <v>1362399</v>
      </c>
      <c r="D49" s="80">
        <f t="shared" si="10"/>
        <v>1043325</v>
      </c>
      <c r="E49" s="80">
        <f t="shared" si="10"/>
        <v>1420509</v>
      </c>
      <c r="F49" s="80">
        <f t="shared" si="10"/>
        <v>1938875</v>
      </c>
      <c r="G49" s="80">
        <f t="shared" si="10"/>
        <v>5571277</v>
      </c>
      <c r="H49" s="80">
        <f t="shared" si="10"/>
        <v>4153471</v>
      </c>
      <c r="I49" s="80">
        <f t="shared" si="10"/>
        <v>4791012</v>
      </c>
      <c r="J49" s="80">
        <f t="shared" si="10"/>
        <v>4526891</v>
      </c>
      <c r="K49" s="80">
        <f t="shared" si="10"/>
        <v>5023310</v>
      </c>
      <c r="L49" s="80">
        <f t="shared" si="10"/>
        <v>6202716</v>
      </c>
      <c r="M49" s="80">
        <f t="shared" si="10"/>
        <v>7804784</v>
      </c>
      <c r="N49" s="80">
        <f t="shared" si="10"/>
        <v>8293105</v>
      </c>
      <c r="O49" s="80">
        <f t="shared" si="10"/>
        <v>9686522</v>
      </c>
      <c r="P49" s="80">
        <f t="shared" si="10"/>
        <v>7719089</v>
      </c>
      <c r="Q49" s="80">
        <f t="shared" si="10"/>
        <v>9549945</v>
      </c>
    </row>
    <row r="50" spans="1:17" ht="15" customHeight="1">
      <c r="A50" s="70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17" ht="15" customHeight="1">
      <c r="A51" s="70" t="s">
        <v>169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 ht="15" customHeight="1">
      <c r="A52" s="67" t="s">
        <v>170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spans="1:17" ht="15" customHeight="1">
      <c r="A53" s="67" t="s">
        <v>130</v>
      </c>
      <c r="B53" s="57">
        <v>85674</v>
      </c>
      <c r="C53" s="57">
        <v>113446</v>
      </c>
      <c r="D53" s="57">
        <v>127330</v>
      </c>
      <c r="E53" s="57">
        <v>119376</v>
      </c>
      <c r="F53" s="57">
        <v>127641</v>
      </c>
      <c r="G53" s="57">
        <v>144763</v>
      </c>
      <c r="H53" s="57">
        <v>193270</v>
      </c>
      <c r="I53" s="57">
        <v>245910</v>
      </c>
      <c r="J53" s="57">
        <v>248760</v>
      </c>
      <c r="K53" s="57">
        <v>274045</v>
      </c>
      <c r="L53" s="57">
        <v>296800</v>
      </c>
      <c r="M53" s="57">
        <v>404263</v>
      </c>
      <c r="N53" s="57">
        <v>444265</v>
      </c>
      <c r="O53" s="57">
        <v>564379</v>
      </c>
      <c r="P53" s="57">
        <v>466775</v>
      </c>
      <c r="Q53" s="57">
        <v>565974</v>
      </c>
    </row>
    <row r="54" spans="1:17" ht="15" customHeight="1">
      <c r="A54" s="67" t="s">
        <v>131</v>
      </c>
      <c r="B54" s="57">
        <v>23811</v>
      </c>
      <c r="C54" s="57">
        <v>31966</v>
      </c>
      <c r="D54" s="57">
        <v>38916</v>
      </c>
      <c r="E54" s="57">
        <v>59113</v>
      </c>
      <c r="F54" s="57">
        <v>40271</v>
      </c>
      <c r="G54" s="57">
        <v>81786</v>
      </c>
      <c r="H54" s="57">
        <v>79526</v>
      </c>
      <c r="I54" s="57">
        <v>87475</v>
      </c>
      <c r="J54" s="57">
        <v>112507</v>
      </c>
      <c r="K54" s="57">
        <v>114075</v>
      </c>
      <c r="L54" s="57">
        <v>142653</v>
      </c>
      <c r="M54" s="57">
        <v>210964</v>
      </c>
      <c r="N54" s="57">
        <v>172991</v>
      </c>
      <c r="O54" s="57">
        <v>183988</v>
      </c>
      <c r="P54" s="57">
        <v>220764</v>
      </c>
      <c r="Q54" s="57">
        <v>306085</v>
      </c>
    </row>
    <row r="55" spans="1:17" ht="15" customHeight="1">
      <c r="A55" s="67" t="s">
        <v>171</v>
      </c>
      <c r="B55" s="57">
        <v>407</v>
      </c>
      <c r="C55" s="57"/>
      <c r="D55" s="57"/>
      <c r="E55" s="57"/>
      <c r="F55" s="57"/>
      <c r="G55" s="57">
        <v>11018</v>
      </c>
      <c r="H55" s="57">
        <v>8184</v>
      </c>
      <c r="I55" s="57">
        <v>91</v>
      </c>
      <c r="J55" s="57">
        <v>0</v>
      </c>
      <c r="K55" s="57"/>
      <c r="L55" s="57"/>
      <c r="M55" s="57"/>
      <c r="N55" s="57"/>
      <c r="O55" s="57"/>
      <c r="P55" s="57"/>
      <c r="Q55" s="57"/>
    </row>
    <row r="56" spans="1:17" ht="15" customHeight="1">
      <c r="A56" s="67" t="s">
        <v>133</v>
      </c>
      <c r="B56" s="57">
        <v>10140</v>
      </c>
      <c r="C56" s="57">
        <v>11583</v>
      </c>
      <c r="D56" s="57">
        <v>12695</v>
      </c>
      <c r="E56" s="57">
        <v>13832</v>
      </c>
      <c r="F56" s="57">
        <v>49926</v>
      </c>
      <c r="G56" s="57">
        <v>32271</v>
      </c>
      <c r="H56" s="57">
        <v>41672</v>
      </c>
      <c r="I56" s="57">
        <v>43236</v>
      </c>
      <c r="J56" s="57">
        <v>44045</v>
      </c>
      <c r="K56" s="57"/>
      <c r="L56" s="57">
        <v>45429</v>
      </c>
      <c r="M56" s="57">
        <v>42530</v>
      </c>
      <c r="N56" s="57">
        <v>43311</v>
      </c>
      <c r="O56" s="57">
        <v>41914</v>
      </c>
      <c r="P56" s="57">
        <v>45809</v>
      </c>
      <c r="Q56" s="57">
        <v>45323</v>
      </c>
    </row>
    <row r="57" spans="1:17" ht="15" customHeight="1">
      <c r="A57" s="67" t="s">
        <v>172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</row>
    <row r="58" spans="1:17" ht="15" customHeight="1">
      <c r="A58" s="67" t="s">
        <v>132</v>
      </c>
      <c r="B58" s="61">
        <v>0</v>
      </c>
      <c r="C58" s="57">
        <v>87746</v>
      </c>
      <c r="D58" s="57">
        <v>91208</v>
      </c>
      <c r="E58" s="57">
        <v>99470</v>
      </c>
      <c r="F58" s="57">
        <v>114047</v>
      </c>
      <c r="G58" s="57">
        <v>115530</v>
      </c>
      <c r="H58" s="57">
        <v>110237</v>
      </c>
      <c r="I58" s="57">
        <v>137998</v>
      </c>
      <c r="J58" s="57">
        <v>145741</v>
      </c>
      <c r="K58" s="57">
        <v>166761</v>
      </c>
      <c r="L58" s="57">
        <v>186658</v>
      </c>
      <c r="M58" s="57">
        <v>211461</v>
      </c>
      <c r="N58" s="57">
        <v>255631</v>
      </c>
      <c r="O58" s="57">
        <v>269061</v>
      </c>
      <c r="P58" s="57">
        <v>267711</v>
      </c>
      <c r="Q58" s="57">
        <v>384070</v>
      </c>
    </row>
    <row r="59" spans="1:17" ht="15" customHeight="1">
      <c r="A59" s="67" t="s">
        <v>134</v>
      </c>
      <c r="B59" s="57">
        <v>7603</v>
      </c>
      <c r="C59" s="57">
        <v>10353</v>
      </c>
      <c r="D59" s="57">
        <v>12926</v>
      </c>
      <c r="E59" s="57">
        <v>14864</v>
      </c>
      <c r="F59" s="57">
        <v>17983</v>
      </c>
      <c r="G59" s="57">
        <v>22159</v>
      </c>
      <c r="H59" s="57">
        <v>30043</v>
      </c>
      <c r="I59" s="57">
        <v>34996</v>
      </c>
      <c r="J59" s="57">
        <v>39903</v>
      </c>
      <c r="K59" s="57"/>
      <c r="L59" s="57">
        <v>55015</v>
      </c>
      <c r="M59" s="57">
        <v>65459</v>
      </c>
      <c r="N59" s="57">
        <v>72463</v>
      </c>
      <c r="O59" s="57">
        <v>87392</v>
      </c>
      <c r="P59" s="57">
        <v>92454</v>
      </c>
      <c r="Q59" s="57">
        <v>114023</v>
      </c>
    </row>
    <row r="60" spans="1:17" ht="15" customHeight="1">
      <c r="A60" s="67" t="s">
        <v>135</v>
      </c>
      <c r="B60" s="57">
        <v>925</v>
      </c>
      <c r="C60" s="57">
        <v>10996</v>
      </c>
      <c r="D60" s="57">
        <v>5470</v>
      </c>
      <c r="E60" s="57">
        <v>9359</v>
      </c>
      <c r="F60" s="57">
        <v>5848</v>
      </c>
      <c r="G60" s="57">
        <v>2750</v>
      </c>
      <c r="H60" s="57">
        <v>7657</v>
      </c>
      <c r="I60" s="57">
        <v>10645</v>
      </c>
      <c r="J60" s="57">
        <v>10189</v>
      </c>
      <c r="K60" s="57">
        <v>14717</v>
      </c>
      <c r="L60" s="57">
        <v>23433</v>
      </c>
      <c r="M60" s="57">
        <v>30399</v>
      </c>
      <c r="N60" s="57">
        <v>13317</v>
      </c>
      <c r="O60" s="57">
        <v>14955</v>
      </c>
      <c r="P60" s="57">
        <v>4006</v>
      </c>
      <c r="Q60" s="57">
        <v>32305</v>
      </c>
    </row>
    <row r="61" spans="1:17" ht="15" customHeight="1">
      <c r="A61" s="67" t="s">
        <v>173</v>
      </c>
      <c r="B61" s="57">
        <v>274</v>
      </c>
      <c r="C61" s="57">
        <v>0</v>
      </c>
      <c r="D61" s="57">
        <v>0</v>
      </c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spans="1:17" ht="15" customHeight="1">
      <c r="A62" s="69" t="s">
        <v>174</v>
      </c>
      <c r="B62" s="81">
        <f t="shared" ref="B62:Q62" si="11">B52+B61+B60+B58+B54+B53+B57+B55+B56+B59</f>
        <v>128834</v>
      </c>
      <c r="C62" s="81">
        <f t="shared" si="11"/>
        <v>266090</v>
      </c>
      <c r="D62" s="81">
        <f t="shared" si="11"/>
        <v>288545</v>
      </c>
      <c r="E62" s="81">
        <f t="shared" si="11"/>
        <v>316014</v>
      </c>
      <c r="F62" s="81">
        <f t="shared" si="11"/>
        <v>355716</v>
      </c>
      <c r="G62" s="81">
        <f t="shared" si="11"/>
        <v>410277</v>
      </c>
      <c r="H62" s="81">
        <f t="shared" si="11"/>
        <v>470589</v>
      </c>
      <c r="I62" s="81">
        <f t="shared" si="11"/>
        <v>560351</v>
      </c>
      <c r="J62" s="81">
        <f t="shared" si="11"/>
        <v>601145</v>
      </c>
      <c r="K62" s="81">
        <f t="shared" si="11"/>
        <v>569598</v>
      </c>
      <c r="L62" s="81">
        <f t="shared" si="11"/>
        <v>749988</v>
      </c>
      <c r="M62" s="81">
        <f t="shared" si="11"/>
        <v>965076</v>
      </c>
      <c r="N62" s="81">
        <f t="shared" si="11"/>
        <v>1001978</v>
      </c>
      <c r="O62" s="81">
        <f t="shared" si="11"/>
        <v>1161689</v>
      </c>
      <c r="P62" s="81">
        <f t="shared" si="11"/>
        <v>1097519</v>
      </c>
      <c r="Q62" s="81">
        <f t="shared" si="11"/>
        <v>1447780</v>
      </c>
    </row>
    <row r="63" spans="1:17" ht="15" customHeight="1">
      <c r="A63" s="70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</row>
    <row r="64" spans="1:17" ht="15" customHeight="1">
      <c r="A64" s="70" t="s">
        <v>175</v>
      </c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</row>
    <row r="65" spans="1:17" ht="15" customHeight="1">
      <c r="A65" s="67" t="s">
        <v>176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>
        <v>373951</v>
      </c>
      <c r="Q65" s="57">
        <v>0</v>
      </c>
    </row>
    <row r="66" spans="1:17" ht="15" customHeight="1">
      <c r="A66" s="67" t="s">
        <v>133</v>
      </c>
      <c r="B66" s="57">
        <v>124899</v>
      </c>
      <c r="C66" s="57">
        <v>117151</v>
      </c>
      <c r="D66" s="57">
        <v>110383</v>
      </c>
      <c r="E66" s="57">
        <v>112216</v>
      </c>
      <c r="F66" s="57">
        <v>68009</v>
      </c>
      <c r="G66" s="57">
        <v>351590</v>
      </c>
      <c r="H66" s="57">
        <v>353173</v>
      </c>
      <c r="I66" s="57">
        <v>334354</v>
      </c>
      <c r="J66" s="57">
        <v>312224</v>
      </c>
      <c r="K66" s="57">
        <v>287469</v>
      </c>
      <c r="L66" s="57">
        <v>264436</v>
      </c>
      <c r="M66" s="57">
        <v>243249</v>
      </c>
      <c r="N66" s="57">
        <v>223800</v>
      </c>
      <c r="O66" s="57">
        <v>204251</v>
      </c>
      <c r="P66" s="57">
        <v>179008</v>
      </c>
      <c r="Q66" s="57">
        <v>159991</v>
      </c>
    </row>
    <row r="67" spans="1:17" ht="15" customHeight="1">
      <c r="A67" s="67" t="s">
        <v>177</v>
      </c>
      <c r="B67" s="57">
        <v>0</v>
      </c>
      <c r="C67" s="57">
        <v>0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/>
      <c r="J67" s="57"/>
      <c r="K67" s="57"/>
      <c r="L67" s="57"/>
      <c r="M67" s="57"/>
      <c r="N67" s="57"/>
      <c r="O67" s="57"/>
      <c r="P67" s="57"/>
      <c r="Q67" s="57"/>
    </row>
    <row r="68" spans="1:17" ht="15" customHeight="1">
      <c r="A68" s="67" t="s">
        <v>178</v>
      </c>
      <c r="B68" s="57"/>
      <c r="C68" s="57"/>
      <c r="D68" s="57"/>
      <c r="E68" s="57"/>
      <c r="F68" s="57"/>
      <c r="G68" s="57"/>
      <c r="H68" s="57"/>
      <c r="I68" s="57">
        <v>1095</v>
      </c>
      <c r="J68" s="57">
        <v>2621</v>
      </c>
      <c r="K68" s="57"/>
      <c r="L68" s="57">
        <v>27432</v>
      </c>
      <c r="M68" s="57">
        <v>29508</v>
      </c>
      <c r="N68" s="57">
        <v>42286</v>
      </c>
      <c r="O68" s="57">
        <v>91838</v>
      </c>
      <c r="P68" s="57">
        <v>110893</v>
      </c>
      <c r="Q68" s="57">
        <v>127066</v>
      </c>
    </row>
    <row r="69" spans="1:17" ht="15" customHeight="1">
      <c r="A69" s="67" t="s">
        <v>179</v>
      </c>
      <c r="B69" s="82">
        <f t="shared" ref="B69:Q69" si="12">B66+B65+B67+B68</f>
        <v>124899</v>
      </c>
      <c r="C69" s="82">
        <f t="shared" si="12"/>
        <v>117151</v>
      </c>
      <c r="D69" s="82">
        <f t="shared" si="12"/>
        <v>110383</v>
      </c>
      <c r="E69" s="82">
        <f t="shared" si="12"/>
        <v>112216</v>
      </c>
      <c r="F69" s="82">
        <f t="shared" si="12"/>
        <v>68009</v>
      </c>
      <c r="G69" s="82">
        <f t="shared" si="12"/>
        <v>351590</v>
      </c>
      <c r="H69" s="82">
        <f t="shared" si="12"/>
        <v>353173</v>
      </c>
      <c r="I69" s="82">
        <f t="shared" si="12"/>
        <v>335449</v>
      </c>
      <c r="J69" s="82">
        <f t="shared" si="12"/>
        <v>314845</v>
      </c>
      <c r="K69" s="82">
        <f t="shared" si="12"/>
        <v>287469</v>
      </c>
      <c r="L69" s="82">
        <f t="shared" si="12"/>
        <v>291868</v>
      </c>
      <c r="M69" s="82">
        <f t="shared" si="12"/>
        <v>272757</v>
      </c>
      <c r="N69" s="82">
        <f t="shared" si="12"/>
        <v>266086</v>
      </c>
      <c r="O69" s="82">
        <f t="shared" si="12"/>
        <v>296089</v>
      </c>
      <c r="P69" s="82">
        <f t="shared" si="12"/>
        <v>663852</v>
      </c>
      <c r="Q69" s="82">
        <f t="shared" si="12"/>
        <v>287057</v>
      </c>
    </row>
    <row r="70" spans="1:17" ht="15" customHeight="1">
      <c r="A70" s="77" t="s">
        <v>180</v>
      </c>
      <c r="B70" s="80">
        <f t="shared" ref="B70:Q70" si="13">B69+B62</f>
        <v>253733</v>
      </c>
      <c r="C70" s="80">
        <f t="shared" si="13"/>
        <v>383241</v>
      </c>
      <c r="D70" s="80">
        <f t="shared" si="13"/>
        <v>398928</v>
      </c>
      <c r="E70" s="80">
        <f t="shared" si="13"/>
        <v>428230</v>
      </c>
      <c r="F70" s="80">
        <f t="shared" si="13"/>
        <v>423725</v>
      </c>
      <c r="G70" s="80">
        <f t="shared" si="13"/>
        <v>761867</v>
      </c>
      <c r="H70" s="80">
        <f t="shared" si="13"/>
        <v>823762</v>
      </c>
      <c r="I70" s="80">
        <f t="shared" si="13"/>
        <v>895800</v>
      </c>
      <c r="J70" s="80">
        <f t="shared" si="13"/>
        <v>915990</v>
      </c>
      <c r="K70" s="80">
        <f t="shared" si="13"/>
        <v>857067</v>
      </c>
      <c r="L70" s="80">
        <f t="shared" si="13"/>
        <v>1041856</v>
      </c>
      <c r="M70" s="80">
        <f t="shared" si="13"/>
        <v>1237833</v>
      </c>
      <c r="N70" s="80">
        <f t="shared" si="13"/>
        <v>1268064</v>
      </c>
      <c r="O70" s="80">
        <f t="shared" si="13"/>
        <v>1457778</v>
      </c>
      <c r="P70" s="80">
        <f t="shared" si="13"/>
        <v>1761371</v>
      </c>
      <c r="Q70" s="80">
        <f t="shared" si="13"/>
        <v>1734837</v>
      </c>
    </row>
    <row r="71" spans="1:17" ht="15" customHeight="1">
      <c r="A71" s="6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</row>
    <row r="72" spans="1:17" ht="15" customHeight="1">
      <c r="A72" s="70" t="s">
        <v>181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</row>
    <row r="73" spans="1:17" ht="15" customHeight="1">
      <c r="A73" s="67" t="s">
        <v>182</v>
      </c>
      <c r="B73" s="57">
        <v>494</v>
      </c>
      <c r="C73" s="57">
        <v>994</v>
      </c>
      <c r="D73" s="57">
        <v>1019</v>
      </c>
      <c r="E73" s="57">
        <v>1030</v>
      </c>
      <c r="F73" s="57">
        <v>1035</v>
      </c>
      <c r="G73" s="57">
        <v>3105</v>
      </c>
      <c r="H73" s="57">
        <v>3116</v>
      </c>
      <c r="I73" s="57">
        <v>3146</v>
      </c>
      <c r="J73" s="57">
        <v>3155</v>
      </c>
      <c r="K73" s="57">
        <v>3182</v>
      </c>
      <c r="L73" s="57">
        <v>3193</v>
      </c>
      <c r="M73" s="57">
        <v>3200</v>
      </c>
      <c r="N73" s="57">
        <v>6418</v>
      </c>
      <c r="O73" s="57">
        <v>5613</v>
      </c>
      <c r="P73" s="57">
        <v>5632</v>
      </c>
      <c r="Q73" s="57">
        <v>5665</v>
      </c>
    </row>
    <row r="74" spans="1:17" ht="15" customHeight="1">
      <c r="A74" s="67" t="s">
        <v>136</v>
      </c>
      <c r="B74" s="57">
        <v>187040</v>
      </c>
      <c r="C74" s="57">
        <v>229301</v>
      </c>
      <c r="D74" s="57">
        <v>287953</v>
      </c>
      <c r="E74" s="57">
        <v>368069</v>
      </c>
      <c r="F74" s="57">
        <v>426145</v>
      </c>
      <c r="G74" s="57">
        <v>3989787</v>
      </c>
      <c r="H74" s="57">
        <v>4051245</v>
      </c>
      <c r="I74" s="57">
        <v>4150628</v>
      </c>
      <c r="J74" s="57">
        <v>4238170</v>
      </c>
      <c r="K74" s="57">
        <v>4397511</v>
      </c>
      <c r="L74" s="57">
        <v>4537982</v>
      </c>
      <c r="M74" s="57">
        <v>4652620</v>
      </c>
      <c r="N74" s="57">
        <v>4776804</v>
      </c>
      <c r="O74" s="57">
        <v>4975115</v>
      </c>
      <c r="P74" s="57">
        <v>5144922</v>
      </c>
      <c r="Q74" s="57">
        <v>5430847</v>
      </c>
    </row>
    <row r="75" spans="1:17" ht="15" customHeight="1">
      <c r="A75" s="67" t="s">
        <v>183</v>
      </c>
      <c r="B75" s="61">
        <v>882425</v>
      </c>
      <c r="C75" s="61">
        <v>1168644</v>
      </c>
      <c r="D75" s="61">
        <v>1508664</v>
      </c>
      <c r="E75" s="61">
        <v>1847325</v>
      </c>
      <c r="F75" s="61">
        <v>2330510</v>
      </c>
      <c r="G75" s="61">
        <v>1394863</v>
      </c>
      <c r="H75" s="61">
        <v>2107548</v>
      </c>
      <c r="I75" s="61">
        <v>2928226</v>
      </c>
      <c r="J75" s="61">
        <v>3914645</v>
      </c>
      <c r="K75" s="61">
        <v>5022480</v>
      </c>
      <c r="L75" s="61">
        <v>6432074</v>
      </c>
      <c r="M75" s="61">
        <v>7809549</v>
      </c>
      <c r="N75" s="61">
        <v>9001173</v>
      </c>
      <c r="O75" s="61">
        <v>5939736</v>
      </c>
      <c r="P75" s="61">
        <v>7448784</v>
      </c>
      <c r="Q75" s="61">
        <v>9354216</v>
      </c>
    </row>
    <row r="76" spans="1:17" ht="15" customHeight="1">
      <c r="A76" s="67" t="s">
        <v>184</v>
      </c>
      <c r="B76" s="61">
        <v>281</v>
      </c>
      <c r="C76" s="83">
        <v>-1547</v>
      </c>
      <c r="D76" s="61">
        <v>2074</v>
      </c>
      <c r="E76" s="83">
        <v>-1233</v>
      </c>
      <c r="F76" s="83">
        <v>-11453</v>
      </c>
      <c r="G76" s="83">
        <v>-21878</v>
      </c>
      <c r="H76" s="83">
        <v>-23249</v>
      </c>
      <c r="I76" s="83">
        <v>-16659</v>
      </c>
      <c r="J76" s="83">
        <v>-32864</v>
      </c>
      <c r="K76" s="83">
        <v>-32387</v>
      </c>
      <c r="L76" s="61">
        <v>3034</v>
      </c>
      <c r="M76" s="83">
        <v>-69165</v>
      </c>
      <c r="N76" s="83">
        <v>-159073</v>
      </c>
      <c r="O76" s="83">
        <v>-125337</v>
      </c>
      <c r="P76" s="83">
        <v>-269487</v>
      </c>
      <c r="Q76" s="83">
        <v>-60841</v>
      </c>
    </row>
    <row r="77" spans="1:17" ht="15" customHeight="1">
      <c r="A77" s="67" t="s">
        <v>185</v>
      </c>
      <c r="B77" s="83">
        <v>-241842</v>
      </c>
      <c r="C77" s="83">
        <v>-418234</v>
      </c>
      <c r="D77" s="83">
        <v>-1155313</v>
      </c>
      <c r="E77" s="83">
        <v>-1222912</v>
      </c>
      <c r="F77" s="83">
        <v>-1231087</v>
      </c>
      <c r="G77" s="83">
        <v>-556467</v>
      </c>
      <c r="H77" s="83">
        <v>-2808951</v>
      </c>
      <c r="I77" s="83">
        <v>-3170129</v>
      </c>
      <c r="J77" s="83">
        <v>-4512205</v>
      </c>
      <c r="K77" s="83">
        <v>-5219505</v>
      </c>
      <c r="L77" s="83">
        <v>-5815423</v>
      </c>
      <c r="M77" s="83">
        <v>-5829253</v>
      </c>
      <c r="N77" s="83">
        <v>-6600281</v>
      </c>
      <c r="O77" s="83">
        <v>-2566383</v>
      </c>
      <c r="P77" s="83">
        <v>-6372133</v>
      </c>
      <c r="Q77" s="83">
        <v>-6475779</v>
      </c>
    </row>
    <row r="78" spans="1:17" ht="15" customHeight="1">
      <c r="A78" s="69" t="s">
        <v>186</v>
      </c>
      <c r="B78" s="81">
        <f t="shared" ref="B78:Q78" si="14">B77+B76+B75+B74+B73</f>
        <v>828398</v>
      </c>
      <c r="C78" s="81">
        <f t="shared" si="14"/>
        <v>979158</v>
      </c>
      <c r="D78" s="81">
        <f t="shared" si="14"/>
        <v>644397</v>
      </c>
      <c r="E78" s="81">
        <f t="shared" si="14"/>
        <v>992279</v>
      </c>
      <c r="F78" s="81">
        <f t="shared" si="14"/>
        <v>1515150</v>
      </c>
      <c r="G78" s="81">
        <f t="shared" si="14"/>
        <v>4809410</v>
      </c>
      <c r="H78" s="81">
        <f t="shared" si="14"/>
        <v>3329709</v>
      </c>
      <c r="I78" s="81">
        <f t="shared" si="14"/>
        <v>3895212</v>
      </c>
      <c r="J78" s="81">
        <f t="shared" si="14"/>
        <v>3610901</v>
      </c>
      <c r="K78" s="81">
        <f t="shared" si="14"/>
        <v>4171281</v>
      </c>
      <c r="L78" s="81">
        <f t="shared" si="14"/>
        <v>5160860</v>
      </c>
      <c r="M78" s="81">
        <f t="shared" si="14"/>
        <v>6566951</v>
      </c>
      <c r="N78" s="81">
        <f t="shared" si="14"/>
        <v>7025041</v>
      </c>
      <c r="O78" s="81">
        <f t="shared" si="14"/>
        <v>8228744</v>
      </c>
      <c r="P78" s="81">
        <f t="shared" si="14"/>
        <v>5957718</v>
      </c>
      <c r="Q78" s="81">
        <f t="shared" si="14"/>
        <v>8254108</v>
      </c>
    </row>
    <row r="79" spans="1:17" ht="15" customHeight="1">
      <c r="A79" s="69" t="s">
        <v>187</v>
      </c>
      <c r="B79" s="81">
        <f t="shared" ref="B79:Q79" si="15">B78+B70</f>
        <v>1082131</v>
      </c>
      <c r="C79" s="81">
        <f t="shared" si="15"/>
        <v>1362399</v>
      </c>
      <c r="D79" s="81">
        <f t="shared" si="15"/>
        <v>1043325</v>
      </c>
      <c r="E79" s="81">
        <f t="shared" si="15"/>
        <v>1420509</v>
      </c>
      <c r="F79" s="81">
        <f t="shared" si="15"/>
        <v>1938875</v>
      </c>
      <c r="G79" s="81">
        <f t="shared" si="15"/>
        <v>5571277</v>
      </c>
      <c r="H79" s="81">
        <f t="shared" si="15"/>
        <v>4153471</v>
      </c>
      <c r="I79" s="81">
        <f t="shared" si="15"/>
        <v>4791012</v>
      </c>
      <c r="J79" s="81">
        <f t="shared" si="15"/>
        <v>4526891</v>
      </c>
      <c r="K79" s="81">
        <f t="shared" si="15"/>
        <v>5028348</v>
      </c>
      <c r="L79" s="81">
        <f t="shared" si="15"/>
        <v>6202716</v>
      </c>
      <c r="M79" s="81">
        <f t="shared" si="15"/>
        <v>7804784</v>
      </c>
      <c r="N79" s="81">
        <f t="shared" si="15"/>
        <v>8293105</v>
      </c>
      <c r="O79" s="81">
        <f t="shared" si="15"/>
        <v>9686522</v>
      </c>
      <c r="P79" s="81">
        <f t="shared" si="15"/>
        <v>7719089</v>
      </c>
      <c r="Q79" s="81">
        <f t="shared" si="15"/>
        <v>9988945</v>
      </c>
    </row>
    <row r="80" spans="1:17" ht="1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27"/>
      <c r="P80" s="27"/>
      <c r="Q80" s="27"/>
    </row>
    <row r="81" spans="1:17" ht="1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27"/>
      <c r="P81" s="27"/>
      <c r="Q81" s="27"/>
    </row>
    <row r="82" spans="1:17" ht="1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27"/>
      <c r="P82" s="27"/>
      <c r="Q82" s="27"/>
    </row>
    <row r="83" spans="1:17" ht="15" customHeight="1">
      <c r="O83" s="14"/>
    </row>
    <row r="84" spans="1:17" ht="15" customHeight="1">
      <c r="A84" s="47" t="s">
        <v>106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</row>
    <row r="85" spans="1:17" ht="15" customHeight="1">
      <c r="A85" s="47" t="s">
        <v>107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</row>
    <row r="86" spans="1:17" ht="15" customHeight="1">
      <c r="A86" s="47" t="s">
        <v>32</v>
      </c>
      <c r="B86" s="47">
        <v>2010</v>
      </c>
      <c r="C86" s="47">
        <f>B86+1</f>
        <v>2011</v>
      </c>
      <c r="D86" s="47">
        <f t="shared" ref="D86:N86" si="16">C86+1</f>
        <v>2012</v>
      </c>
      <c r="E86" s="47">
        <f t="shared" si="16"/>
        <v>2013</v>
      </c>
      <c r="F86" s="47">
        <f t="shared" si="16"/>
        <v>2014</v>
      </c>
      <c r="G86" s="47">
        <f t="shared" si="16"/>
        <v>2015</v>
      </c>
      <c r="H86" s="47">
        <f t="shared" si="16"/>
        <v>2016</v>
      </c>
      <c r="I86" s="47">
        <f t="shared" si="16"/>
        <v>2017</v>
      </c>
      <c r="J86" s="47">
        <f t="shared" si="16"/>
        <v>2018</v>
      </c>
      <c r="K86" s="47">
        <f t="shared" si="16"/>
        <v>2019</v>
      </c>
      <c r="L86" s="47">
        <f t="shared" si="16"/>
        <v>2020</v>
      </c>
      <c r="M86" s="47">
        <f t="shared" si="16"/>
        <v>2021</v>
      </c>
      <c r="N86" s="47">
        <f t="shared" si="16"/>
        <v>2022</v>
      </c>
      <c r="O86" s="48" t="s">
        <v>122</v>
      </c>
      <c r="P86" s="48" t="s">
        <v>123</v>
      </c>
      <c r="Q86" s="48" t="s">
        <v>108</v>
      </c>
    </row>
    <row r="87" spans="1:17" ht="15" customHeight="1">
      <c r="A87" s="67" t="s">
        <v>142</v>
      </c>
      <c r="B87" s="33">
        <f>B6/B6</f>
        <v>1</v>
      </c>
      <c r="C87" s="33">
        <f>C6/B6</f>
        <v>1.3062160740278326</v>
      </c>
      <c r="D87" s="33">
        <f>D6/B6</f>
        <v>1.5803632370151433</v>
      </c>
      <c r="E87" s="33">
        <f>E6/B6</f>
        <v>1.7227974863912658</v>
      </c>
      <c r="F87" s="33">
        <f>F6/B6</f>
        <v>1.8903195080762796</v>
      </c>
      <c r="G87" s="33">
        <f>G6/B6</f>
        <v>2.0879486971046259</v>
      </c>
      <c r="H87" s="33">
        <f>H6/B6</f>
        <v>2.3385955817053214</v>
      </c>
      <c r="I87" s="33">
        <f>I6/B6</f>
        <v>2.5837383871368513</v>
      </c>
      <c r="J87" s="33">
        <f>J6/B6</f>
        <v>2.9197487311552202</v>
      </c>
      <c r="K87" s="33">
        <f>K6/B6</f>
        <v>3.2216302565604913</v>
      </c>
      <c r="L87" s="33">
        <f>L6/B6</f>
        <v>3.5267197467372013</v>
      </c>
      <c r="M87" s="33">
        <f>M6/B6</f>
        <v>4.2496920875315007</v>
      </c>
      <c r="N87" s="33">
        <f>N6/B6</f>
        <v>4.8399775450135056</v>
      </c>
      <c r="O87" s="33">
        <f>O6/B6</f>
        <v>5.4757243803788818</v>
      </c>
      <c r="P87" s="33">
        <f>P6/B6</f>
        <v>5.7461980670919415</v>
      </c>
      <c r="Q87" s="33">
        <f>Q6/B6</f>
        <v>6.3609754114830261</v>
      </c>
    </row>
    <row r="88" spans="1:17" ht="15" customHeight="1">
      <c r="A88" s="67" t="s">
        <v>109</v>
      </c>
      <c r="B88" s="33">
        <f t="shared" ref="B88:B104" si="17">B7/B7</f>
        <v>1</v>
      </c>
      <c r="C88" s="33">
        <f t="shared" ref="C88:C104" si="18">C7/B7</f>
        <v>1.2969671413591748</v>
      </c>
      <c r="D88" s="33">
        <f t="shared" ref="D88:D104" si="19">D7/B7</f>
        <v>1.5953868995129084</v>
      </c>
      <c r="E88" s="33">
        <f t="shared" ref="E88:E104" si="20">E7/B7</f>
        <v>1.721169725285473</v>
      </c>
      <c r="F88" s="33">
        <f t="shared" ref="F88:F104" si="21">F7/B7</f>
        <v>1.8038374095321164</v>
      </c>
      <c r="G88" s="33">
        <f t="shared" ref="G88:G104" si="22">G7/B7</f>
        <v>1.7480511526337899</v>
      </c>
      <c r="H88" s="33">
        <f t="shared" ref="H88:H104" si="23">H7/B7</f>
        <v>1.775516192027603</v>
      </c>
      <c r="I88" s="33">
        <f t="shared" ref="I88:I104" si="24">I7/B7</f>
        <v>1.9742681601149268</v>
      </c>
      <c r="J88" s="33">
        <f t="shared" ref="J88:J104" si="25">J7/B7</f>
        <v>2.4239268112015031</v>
      </c>
      <c r="K88" s="33">
        <f t="shared" ref="K88:K104" si="26">K7/B7</f>
        <v>2.6971758948985252</v>
      </c>
      <c r="L88" s="33">
        <f t="shared" ref="L88:L104" si="27">L7/B7</f>
        <v>3.0058553604125047</v>
      </c>
      <c r="M88" s="33">
        <f t="shared" ref="M88:M104" si="28">M7/B7</f>
        <v>3.9006432559138822</v>
      </c>
      <c r="N88" s="33">
        <f t="shared" ref="N88:N104" si="29">N7/B7</f>
        <v>5.0288166464112667</v>
      </c>
      <c r="O88" s="33">
        <f t="shared" ref="O88:O104" si="30">O7/B7</f>
        <v>5.3644544991037391</v>
      </c>
      <c r="P88" s="33">
        <f t="shared" ref="P88:P104" si="31">P7/B7</f>
        <v>5.5215968523429462</v>
      </c>
      <c r="Q88" s="33">
        <f t="shared" ref="Q88:Q104" si="32">Q7/B7</f>
        <v>5.871631003267586</v>
      </c>
    </row>
    <row r="89" spans="1:17" ht="15" customHeight="1">
      <c r="A89" s="69" t="s">
        <v>143</v>
      </c>
      <c r="B89" s="87">
        <f t="shared" si="17"/>
        <v>1</v>
      </c>
      <c r="C89" s="87">
        <f t="shared" si="18"/>
        <v>1.314696283664589</v>
      </c>
      <c r="D89" s="87">
        <f t="shared" si="19"/>
        <v>1.5665882629660119</v>
      </c>
      <c r="E89" s="87">
        <f t="shared" si="20"/>
        <v>1.7242899564859462</v>
      </c>
      <c r="F89" s="87">
        <f t="shared" si="21"/>
        <v>1.9696136657650241</v>
      </c>
      <c r="G89" s="87">
        <f t="shared" si="22"/>
        <v>2.3995957309184992</v>
      </c>
      <c r="H89" s="87">
        <f t="shared" si="23"/>
        <v>2.8548747500882041</v>
      </c>
      <c r="I89" s="87">
        <f t="shared" si="24"/>
        <v>3.1425526284840646</v>
      </c>
      <c r="J89" s="87">
        <f t="shared" si="25"/>
        <v>3.3743605198165354</v>
      </c>
      <c r="K89" s="87">
        <f t="shared" si="26"/>
        <v>3.7024947077502057</v>
      </c>
      <c r="L89" s="87">
        <f t="shared" si="27"/>
        <v>4.0042926026108434</v>
      </c>
      <c r="M89" s="87">
        <f t="shared" si="28"/>
        <v>4.569729801246619</v>
      </c>
      <c r="N89" s="87">
        <f t="shared" si="29"/>
        <v>4.6668337645536866</v>
      </c>
      <c r="O89" s="87">
        <f t="shared" si="30"/>
        <v>5.5777460896154301</v>
      </c>
      <c r="P89" s="87">
        <f t="shared" si="31"/>
        <v>5.9521316006115486</v>
      </c>
      <c r="Q89" s="87">
        <f t="shared" si="32"/>
        <v>6.8096480653886866</v>
      </c>
    </row>
    <row r="90" spans="1:17" ht="15" customHeight="1">
      <c r="A90" s="68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 spans="1:17" ht="15" customHeight="1">
      <c r="A91" s="67" t="s">
        <v>144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</row>
    <row r="92" spans="1:17" ht="15" customHeight="1">
      <c r="A92" s="67" t="s">
        <v>145</v>
      </c>
      <c r="B92" s="33">
        <f t="shared" si="17"/>
        <v>1</v>
      </c>
      <c r="C92" s="33">
        <f t="shared" si="18"/>
        <v>1.2763713080168777</v>
      </c>
      <c r="D92" s="33">
        <f t="shared" si="19"/>
        <v>1.6054852320675106</v>
      </c>
      <c r="E92" s="33">
        <f t="shared" si="20"/>
        <v>1.7721518987341771</v>
      </c>
      <c r="F92" s="33">
        <f t="shared" si="21"/>
        <v>1.9556962025316456</v>
      </c>
      <c r="G92" s="33">
        <f t="shared" si="22"/>
        <v>1.8354430379746836</v>
      </c>
      <c r="H92" s="33">
        <f t="shared" si="23"/>
        <v>1.7637130801687764</v>
      </c>
      <c r="I92" s="33">
        <f t="shared" si="24"/>
        <v>1.9388185654008439</v>
      </c>
      <c r="J92" s="33">
        <f t="shared" si="25"/>
        <v>2.7109704641350212</v>
      </c>
      <c r="K92" s="33">
        <f t="shared" si="26"/>
        <v>2.5843881856540083</v>
      </c>
      <c r="L92" s="33">
        <f t="shared" si="27"/>
        <v>2.8291139240506329</v>
      </c>
      <c r="M92" s="33">
        <f t="shared" si="28"/>
        <v>4.5126582278481013</v>
      </c>
      <c r="N92" s="33">
        <f t="shared" si="29"/>
        <v>5.2573839662447259</v>
      </c>
      <c r="O92" s="33">
        <f t="shared" si="30"/>
        <v>4.7172995780590714</v>
      </c>
      <c r="P92" s="33">
        <f t="shared" si="31"/>
        <v>4.7299578059071727</v>
      </c>
      <c r="Q92" s="33">
        <f t="shared" si="32"/>
        <v>5</v>
      </c>
    </row>
    <row r="93" spans="1:17" ht="15" customHeight="1">
      <c r="A93" s="67" t="s">
        <v>146</v>
      </c>
      <c r="B93" s="33">
        <f t="shared" si="17"/>
        <v>1</v>
      </c>
      <c r="C93" s="33">
        <f t="shared" si="18"/>
        <v>1.4184938036224977</v>
      </c>
      <c r="D93" s="33">
        <f t="shared" si="19"/>
        <v>1.5767397521448998</v>
      </c>
      <c r="E93" s="33">
        <f t="shared" si="20"/>
        <v>1.7330791229742613</v>
      </c>
      <c r="F93" s="33">
        <f t="shared" si="21"/>
        <v>1.6348903717826502</v>
      </c>
      <c r="G93" s="33">
        <f t="shared" si="22"/>
        <v>1.9990467111534795</v>
      </c>
      <c r="H93" s="33">
        <f t="shared" si="23"/>
        <v>2.5795996186844614</v>
      </c>
      <c r="I93" s="33">
        <f t="shared" si="24"/>
        <v>3.088655862726406</v>
      </c>
      <c r="J93" s="33">
        <f t="shared" si="25"/>
        <v>3.3736892278360342</v>
      </c>
      <c r="K93" s="33">
        <f t="shared" si="26"/>
        <v>3.733079122974261</v>
      </c>
      <c r="L93" s="33">
        <f t="shared" si="27"/>
        <v>3.2955195424213537</v>
      </c>
      <c r="M93" s="33">
        <f t="shared" si="28"/>
        <v>3.9809342230695899</v>
      </c>
      <c r="N93" s="33">
        <f t="shared" si="29"/>
        <v>4.3918017159199234</v>
      </c>
      <c r="O93" s="33">
        <f t="shared" si="30"/>
        <v>5.0419447092469021</v>
      </c>
      <c r="P93" s="33">
        <f t="shared" si="31"/>
        <v>5.5681601525262154</v>
      </c>
      <c r="Q93" s="33">
        <f t="shared" si="32"/>
        <v>5.7187797902764537</v>
      </c>
    </row>
    <row r="94" spans="1:17" ht="15" customHeight="1">
      <c r="A94" s="67" t="s">
        <v>147</v>
      </c>
      <c r="B94" s="33">
        <f t="shared" si="17"/>
        <v>1</v>
      </c>
      <c r="C94" s="33">
        <f t="shared" si="18"/>
        <v>1.269033898493277</v>
      </c>
      <c r="D94" s="33">
        <f t="shared" si="19"/>
        <v>1.5185647824300768</v>
      </c>
      <c r="E94" s="33">
        <f t="shared" si="20"/>
        <v>1.8554511841710803</v>
      </c>
      <c r="F94" s="33">
        <f t="shared" si="21"/>
        <v>1.821530484216604</v>
      </c>
      <c r="G94" s="33">
        <f t="shared" si="22"/>
        <v>3.3499772381555135</v>
      </c>
      <c r="H94" s="33">
        <f t="shared" si="23"/>
        <v>2.7895029035230894</v>
      </c>
      <c r="I94" s="33">
        <f t="shared" si="24"/>
        <v>2.9035397444011415</v>
      </c>
      <c r="J94" s="33">
        <f t="shared" si="25"/>
        <v>2.9388095000166552</v>
      </c>
      <c r="K94" s="33">
        <f t="shared" si="26"/>
        <v>3.3395845130630781</v>
      </c>
      <c r="L94" s="33">
        <f t="shared" si="27"/>
        <v>3.3916647235823811</v>
      </c>
      <c r="M94" s="33">
        <f t="shared" si="28"/>
        <v>3.7726147252478821</v>
      </c>
      <c r="N94" s="33">
        <f t="shared" si="29"/>
        <v>4.8851692703996088</v>
      </c>
      <c r="O94" s="33">
        <f t="shared" si="30"/>
        <v>6.0421649289941488</v>
      </c>
      <c r="P94" s="33">
        <f t="shared" si="31"/>
        <v>7.2742635710558163</v>
      </c>
      <c r="Q94" s="33">
        <f t="shared" si="32"/>
        <v>7.6387695279970691</v>
      </c>
    </row>
    <row r="95" spans="1:17" ht="15" customHeight="1">
      <c r="A95" s="75" t="s">
        <v>148</v>
      </c>
      <c r="B95" s="87">
        <f t="shared" si="17"/>
        <v>1</v>
      </c>
      <c r="C95" s="87">
        <f t="shared" si="18"/>
        <v>1.3172435369074622</v>
      </c>
      <c r="D95" s="87">
        <f t="shared" si="19"/>
        <v>1.5493162388020192</v>
      </c>
      <c r="E95" s="87">
        <f t="shared" si="20"/>
        <v>1.804958095937141</v>
      </c>
      <c r="F95" s="87">
        <f t="shared" si="21"/>
        <v>1.7817649642326412</v>
      </c>
      <c r="G95" s="87">
        <f t="shared" si="22"/>
        <v>2.7077244258872653</v>
      </c>
      <c r="H95" s="87">
        <f t="shared" si="23"/>
        <v>2.5770005956212811</v>
      </c>
      <c r="I95" s="87">
        <f t="shared" si="24"/>
        <v>2.824397008657566</v>
      </c>
      <c r="J95" s="87">
        <f t="shared" si="25"/>
        <v>3.0435525500412122</v>
      </c>
      <c r="K95" s="87">
        <f t="shared" si="26"/>
        <v>3.3560732313356958</v>
      </c>
      <c r="L95" s="87">
        <f t="shared" si="27"/>
        <v>3.2811121873740321</v>
      </c>
      <c r="M95" s="87">
        <f t="shared" si="28"/>
        <v>3.9438732229127687</v>
      </c>
      <c r="N95" s="87">
        <f t="shared" si="29"/>
        <v>4.782556117752522</v>
      </c>
      <c r="O95" s="87">
        <f t="shared" si="30"/>
        <v>5.5376264191128248</v>
      </c>
      <c r="P95" s="87">
        <f t="shared" si="31"/>
        <v>6.3730995770487269</v>
      </c>
      <c r="Q95" s="87">
        <f t="shared" si="32"/>
        <v>6.6566423805598838</v>
      </c>
    </row>
    <row r="96" spans="1:17" ht="15" customHeight="1">
      <c r="A96" s="69" t="s">
        <v>149</v>
      </c>
      <c r="B96" s="87">
        <f t="shared" si="17"/>
        <v>1</v>
      </c>
      <c r="C96" s="87">
        <f t="shared" si="18"/>
        <v>1.3122617260949818</v>
      </c>
      <c r="D96" s="87">
        <f t="shared" si="19"/>
        <v>1.5830961375907813</v>
      </c>
      <c r="E96" s="87">
        <f t="shared" si="20"/>
        <v>1.6471907398782109</v>
      </c>
      <c r="F96" s="87">
        <f t="shared" si="21"/>
        <v>2.1491515580166412</v>
      </c>
      <c r="G96" s="87">
        <f t="shared" si="22"/>
        <v>2.1050992771998827</v>
      </c>
      <c r="H96" s="87">
        <f t="shared" si="23"/>
        <v>3.1204551858177072</v>
      </c>
      <c r="I96" s="87">
        <f t="shared" si="24"/>
        <v>3.446632395475743</v>
      </c>
      <c r="J96" s="87">
        <f t="shared" si="25"/>
        <v>3.6905328710172678</v>
      </c>
      <c r="K96" s="87">
        <f t="shared" si="26"/>
        <v>4.0335897922452801</v>
      </c>
      <c r="L96" s="87">
        <f t="shared" si="27"/>
        <v>4.6954780428619891</v>
      </c>
      <c r="M96" s="87">
        <f t="shared" si="28"/>
        <v>5.1678972094280278</v>
      </c>
      <c r="N96" s="87">
        <f t="shared" si="29"/>
        <v>4.55623120403434</v>
      </c>
      <c r="O96" s="87">
        <f t="shared" si="30"/>
        <v>5.6160907841547489</v>
      </c>
      <c r="P96" s="87">
        <f t="shared" si="31"/>
        <v>5.5497881051366535</v>
      </c>
      <c r="Q96" s="87">
        <f t="shared" si="32"/>
        <v>6.9558844669852276</v>
      </c>
    </row>
    <row r="97" spans="1:17" ht="15" customHeight="1">
      <c r="A97" s="68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</row>
    <row r="98" spans="1:17" ht="15" customHeight="1">
      <c r="A98" s="67" t="s">
        <v>150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 spans="1:17" ht="15" customHeight="1">
      <c r="A99" s="67" t="s">
        <v>151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spans="1:17" ht="15" customHeight="1">
      <c r="A100" s="67" t="s">
        <v>152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 spans="1:17" ht="15" customHeight="1">
      <c r="A101" s="69" t="s">
        <v>153</v>
      </c>
      <c r="B101" s="87">
        <f t="shared" si="17"/>
        <v>1</v>
      </c>
      <c r="C101" s="87">
        <f t="shared" si="18"/>
        <v>1.3122617260949818</v>
      </c>
      <c r="D101" s="87">
        <f t="shared" si="19"/>
        <v>1.5830961375907813</v>
      </c>
      <c r="E101" s="87">
        <f t="shared" si="20"/>
        <v>1.6471907398782109</v>
      </c>
      <c r="F101" s="87">
        <f t="shared" si="21"/>
        <v>2.1491515580166412</v>
      </c>
      <c r="G101" s="87">
        <f t="shared" si="22"/>
        <v>2.111151362509847</v>
      </c>
      <c r="H101" s="87">
        <f t="shared" si="23"/>
        <v>3.136708125607365</v>
      </c>
      <c r="I101" s="87">
        <f t="shared" si="24"/>
        <v>3.4384786121317714</v>
      </c>
      <c r="J101" s="87">
        <f t="shared" si="25"/>
        <v>3.6627795315887228</v>
      </c>
      <c r="K101" s="87">
        <f t="shared" si="26"/>
        <v>3.9961473661209728</v>
      </c>
      <c r="L101" s="87">
        <f t="shared" si="27"/>
        <v>4.7155922418304037</v>
      </c>
      <c r="M101" s="87">
        <f t="shared" si="28"/>
        <v>5.1565348145848064</v>
      </c>
      <c r="N101" s="87">
        <f t="shared" si="29"/>
        <v>4.5929088535826619</v>
      </c>
      <c r="O101" s="87">
        <f t="shared" si="30"/>
        <v>5.2850891568482004</v>
      </c>
      <c r="P101" s="87">
        <f t="shared" si="31"/>
        <v>5.3796828189779591</v>
      </c>
      <c r="Q101" s="87">
        <f t="shared" si="32"/>
        <v>6.7742500301885489</v>
      </c>
    </row>
    <row r="102" spans="1:17" ht="15" customHeight="1">
      <c r="A102" s="68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 ht="30" customHeight="1">
      <c r="A103" s="67" t="s">
        <v>154</v>
      </c>
      <c r="B103" s="33">
        <f t="shared" si="17"/>
        <v>1</v>
      </c>
      <c r="C103" s="33">
        <f t="shared" si="18"/>
        <v>1.2460644117925594</v>
      </c>
      <c r="D103" s="33">
        <f t="shared" si="19"/>
        <v>1.5234896884310827</v>
      </c>
      <c r="E103" s="33">
        <f t="shared" si="20"/>
        <v>1.6407669388736315</v>
      </c>
      <c r="F103" s="33">
        <f t="shared" si="21"/>
        <v>1.912998186096319</v>
      </c>
      <c r="G103" s="33">
        <f t="shared" si="22"/>
        <v>2.511892360478754</v>
      </c>
      <c r="H103" s="33">
        <f t="shared" si="23"/>
        <v>2.6735046221762473</v>
      </c>
      <c r="I103" s="33">
        <f t="shared" si="24"/>
        <v>2.7750905130652059</v>
      </c>
      <c r="J103" s="33">
        <f t="shared" si="25"/>
        <v>2.1873784356719823</v>
      </c>
      <c r="K103" s="33">
        <f t="shared" si="26"/>
        <v>2.2446293153059962</v>
      </c>
      <c r="L103" s="33">
        <f t="shared" si="27"/>
        <v>1.5776081239573696</v>
      </c>
      <c r="M103" s="33">
        <f t="shared" si="28"/>
        <v>3.0883276390841607</v>
      </c>
      <c r="N103" s="33">
        <f t="shared" si="29"/>
        <v>2.7706832370531713</v>
      </c>
      <c r="O103" s="33">
        <f t="shared" si="30"/>
        <v>3.187036052246254</v>
      </c>
      <c r="P103" s="33">
        <f t="shared" si="31"/>
        <v>3.4996758284586189</v>
      </c>
      <c r="Q103" s="33">
        <f t="shared" si="32"/>
        <v>4.2040095284578909</v>
      </c>
    </row>
    <row r="104" spans="1:17" ht="15" customHeight="1">
      <c r="A104" s="69" t="s">
        <v>155</v>
      </c>
      <c r="B104" s="87">
        <f t="shared" si="17"/>
        <v>1</v>
      </c>
      <c r="C104" s="87">
        <f t="shared" si="18"/>
        <v>1.3554224592834649</v>
      </c>
      <c r="D104" s="87">
        <f t="shared" si="19"/>
        <v>1.6219596183166225</v>
      </c>
      <c r="E104" s="87">
        <f t="shared" si="20"/>
        <v>1.6513790663101249</v>
      </c>
      <c r="F104" s="87">
        <f t="shared" si="21"/>
        <v>2.3031238571109665</v>
      </c>
      <c r="G104" s="87">
        <f t="shared" si="22"/>
        <v>1.8498677217264097</v>
      </c>
      <c r="H104" s="87">
        <f t="shared" si="23"/>
        <v>3.4387173994613875</v>
      </c>
      <c r="I104" s="87">
        <f t="shared" si="24"/>
        <v>3.8710084971573231</v>
      </c>
      <c r="J104" s="87">
        <f t="shared" si="25"/>
        <v>4.6247429241810387</v>
      </c>
      <c r="K104" s="87">
        <f t="shared" si="26"/>
        <v>5.138139364779307</v>
      </c>
      <c r="L104" s="87">
        <f t="shared" si="27"/>
        <v>6.7615618810587961</v>
      </c>
      <c r="M104" s="87">
        <f t="shared" si="28"/>
        <v>6.5050085256553354</v>
      </c>
      <c r="N104" s="87">
        <f t="shared" si="29"/>
        <v>5.7810022750913124</v>
      </c>
      <c r="O104" s="87">
        <f t="shared" si="30"/>
        <v>6.6530224516839951</v>
      </c>
      <c r="P104" s="87">
        <f t="shared" si="31"/>
        <v>6.6054497698785513</v>
      </c>
      <c r="Q104" s="87">
        <f t="shared" si="32"/>
        <v>8.4500501090048967</v>
      </c>
    </row>
    <row r="107" spans="1:17" ht="1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7"/>
      <c r="P107" s="7"/>
      <c r="Q107" s="7"/>
    </row>
    <row r="108" spans="1:17" ht="15" customHeight="1">
      <c r="A108" s="47" t="s">
        <v>106</v>
      </c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</row>
    <row r="109" spans="1:17" ht="15" customHeight="1">
      <c r="A109" s="47" t="s">
        <v>137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</row>
    <row r="110" spans="1:17" ht="15" customHeight="1">
      <c r="A110" s="47"/>
      <c r="B110" s="47">
        <v>2010</v>
      </c>
      <c r="C110" s="47">
        <f>B110+1</f>
        <v>2011</v>
      </c>
      <c r="D110" s="47">
        <f t="shared" ref="D110:N110" si="33">C110+1</f>
        <v>2012</v>
      </c>
      <c r="E110" s="47">
        <f t="shared" si="33"/>
        <v>2013</v>
      </c>
      <c r="F110" s="47">
        <f t="shared" si="33"/>
        <v>2014</v>
      </c>
      <c r="G110" s="47">
        <f t="shared" si="33"/>
        <v>2015</v>
      </c>
      <c r="H110" s="47">
        <f t="shared" si="33"/>
        <v>2016</v>
      </c>
      <c r="I110" s="47">
        <f t="shared" si="33"/>
        <v>2017</v>
      </c>
      <c r="J110" s="47">
        <f t="shared" si="33"/>
        <v>2018</v>
      </c>
      <c r="K110" s="47">
        <f t="shared" si="33"/>
        <v>2019</v>
      </c>
      <c r="L110" s="47">
        <f t="shared" si="33"/>
        <v>2020</v>
      </c>
      <c r="M110" s="47">
        <f t="shared" si="33"/>
        <v>2021</v>
      </c>
      <c r="N110" s="47">
        <f t="shared" si="33"/>
        <v>2022</v>
      </c>
      <c r="O110" s="47">
        <v>2023</v>
      </c>
      <c r="P110" s="47">
        <f>O110+1</f>
        <v>2024</v>
      </c>
      <c r="Q110" s="47">
        <f t="shared" ref="Q110" si="34">P110+1</f>
        <v>2025</v>
      </c>
    </row>
    <row r="111" spans="1:17" ht="15" customHeight="1">
      <c r="A111" s="70" t="s">
        <v>189</v>
      </c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9"/>
      <c r="P111" s="29"/>
      <c r="Q111" s="29"/>
    </row>
    <row r="112" spans="1:17" ht="15" customHeight="1">
      <c r="A112" s="67" t="s">
        <v>124</v>
      </c>
      <c r="B112" s="33">
        <f t="shared" ref="B112:B160" si="35">B31/B31</f>
        <v>1</v>
      </c>
      <c r="C112" s="34">
        <f>C31/B31</f>
        <v>1.0126507008753192</v>
      </c>
      <c r="D112" s="34">
        <f>D31/B31</f>
        <v>0.62707909435748865</v>
      </c>
      <c r="E112" s="34">
        <f>E31/B31</f>
        <v>0.59561438612114692</v>
      </c>
      <c r="F112" s="34">
        <f>F31/B31</f>
        <v>1.0436278681779496</v>
      </c>
      <c r="G112" s="34">
        <f>G31/B31</f>
        <v>6.1306637883903257</v>
      </c>
      <c r="H112" s="34">
        <f>H31/B31</f>
        <v>1.0640848603040227</v>
      </c>
      <c r="I112" s="34">
        <f>I31/B31</f>
        <v>1.4897390951465723</v>
      </c>
      <c r="J112" s="34">
        <f>J31/B31</f>
        <v>1.7966108859717846</v>
      </c>
      <c r="K112" s="34">
        <f>K31/B31</f>
        <v>2.2487670568872908</v>
      </c>
      <c r="L112" s="34">
        <f>L31/B31</f>
        <v>3.3265876080058168</v>
      </c>
      <c r="M112" s="34">
        <f>M31/B31</f>
        <v>3.7381764278185785</v>
      </c>
      <c r="N112" s="34">
        <f>N31/B31</f>
        <v>3.6837268418056488</v>
      </c>
      <c r="O112" s="34">
        <f>O31/B31</f>
        <v>6.4752058662728764</v>
      </c>
      <c r="P112" s="34">
        <f>P31/B31</f>
        <v>4.3210414776153891</v>
      </c>
      <c r="Q112" s="34">
        <f>Q31/B31</f>
        <v>5.8846387969857004</v>
      </c>
    </row>
    <row r="113" spans="1:17" ht="15" customHeight="1">
      <c r="A113" s="67" t="s">
        <v>125</v>
      </c>
      <c r="B113" s="33">
        <f t="shared" si="35"/>
        <v>1</v>
      </c>
      <c r="C113" s="34">
        <f t="shared" ref="C113:C160" si="36">C32/B32</f>
        <v>1.6811104889045121</v>
      </c>
      <c r="D113" s="34">
        <f t="shared" ref="D113:D160" si="37">D32/B32</f>
        <v>0.3966580693156318</v>
      </c>
      <c r="E113" s="34">
        <f t="shared" ref="E113:E160" si="38">E32/B32</f>
        <v>1.6441800293481681</v>
      </c>
      <c r="F113" s="34">
        <f t="shared" ref="F113:F160" si="39">F32/B32</f>
        <v>3.1928763248572443</v>
      </c>
      <c r="G113" s="34">
        <f t="shared" ref="G113:G160" si="40">G32/B32</f>
        <v>3.0435848910071162</v>
      </c>
      <c r="H113" s="34">
        <f t="shared" ref="H113:H160" si="41">H32/B32</f>
        <v>0.90151196203540584</v>
      </c>
      <c r="I113" s="34">
        <f t="shared" ref="I113:I160" si="42">I32/B32</f>
        <v>2.7506059701858581</v>
      </c>
      <c r="J113" s="34">
        <f t="shared" ref="J113:J160" si="43">J32/B32</f>
        <v>1.3106532215541449</v>
      </c>
      <c r="K113" s="34">
        <f t="shared" ref="K113:K160" si="44">K32/B32</f>
        <v>2.1788889388470829</v>
      </c>
      <c r="L113" s="34">
        <f t="shared" ref="L113:L160" si="45">L32/B32</f>
        <v>3.602524432963143</v>
      </c>
      <c r="M113" s="34">
        <f t="shared" ref="M113:M160" si="46">M32/B32</f>
        <v>7.1519891763301713</v>
      </c>
      <c r="N113" s="34">
        <f t="shared" ref="N113:N160" si="47">N32/B32</f>
        <v>5.5684429529652686</v>
      </c>
      <c r="O113" s="34">
        <f t="shared" ref="O113:O160" si="48">O32/B32</f>
        <v>3.9060245494565682</v>
      </c>
      <c r="P113" s="34">
        <f t="shared" ref="P113:P160" si="49">P32/B32</f>
        <v>0</v>
      </c>
      <c r="Q113" s="34">
        <f t="shared" ref="Q113:Q160" si="50">Q32/B32</f>
        <v>2.7675731353898851</v>
      </c>
    </row>
    <row r="114" spans="1:17" ht="15" customHeight="1">
      <c r="A114" s="67" t="s">
        <v>126</v>
      </c>
      <c r="B114" s="33">
        <f t="shared" si="35"/>
        <v>1</v>
      </c>
      <c r="C114" s="34">
        <f t="shared" si="36"/>
        <v>2.1522211836473657</v>
      </c>
      <c r="D114" s="34">
        <f t="shared" si="37"/>
        <v>2.3290205145865106</v>
      </c>
      <c r="E114" s="34">
        <f t="shared" si="38"/>
        <v>2.9141535888227481</v>
      </c>
      <c r="F114" s="34">
        <f t="shared" si="39"/>
        <v>2.7623850051655432</v>
      </c>
      <c r="G114" s="34">
        <f t="shared" si="40"/>
        <v>4.7026614847247501</v>
      </c>
      <c r="H114" s="34">
        <f t="shared" si="41"/>
        <v>5.6383234122103607</v>
      </c>
      <c r="I114" s="34">
        <f t="shared" si="42"/>
        <v>4.4224528951640671</v>
      </c>
      <c r="J114" s="34">
        <f t="shared" si="43"/>
        <v>4.7676686180941603</v>
      </c>
      <c r="K114" s="34">
        <f t="shared" si="44"/>
        <v>5.3163772322526688</v>
      </c>
      <c r="L114" s="34">
        <f t="shared" si="45"/>
        <v>6.552978796674374</v>
      </c>
      <c r="M114" s="34">
        <f t="shared" si="46"/>
        <v>8.8223348256014162</v>
      </c>
      <c r="N114" s="34">
        <f t="shared" si="47"/>
        <v>9.9985536478575288</v>
      </c>
      <c r="O114" s="34">
        <f t="shared" si="48"/>
        <v>11.747567275052885</v>
      </c>
      <c r="P114" s="34">
        <f t="shared" si="49"/>
        <v>12.01993407782752</v>
      </c>
      <c r="Q114" s="34">
        <f t="shared" si="50"/>
        <v>15.920421114773454</v>
      </c>
    </row>
    <row r="115" spans="1:17" ht="15" customHeight="1">
      <c r="A115" s="67" t="s">
        <v>127</v>
      </c>
      <c r="B115" s="33">
        <f t="shared" si="35"/>
        <v>1</v>
      </c>
      <c r="C115" s="34">
        <f t="shared" si="36"/>
        <v>1.0154788861988633</v>
      </c>
      <c r="D115" s="34">
        <f t="shared" si="37"/>
        <v>1.3254024706181766</v>
      </c>
      <c r="E115" s="34">
        <f t="shared" si="38"/>
        <v>1.4451028119106506</v>
      </c>
      <c r="F115" s="34">
        <f t="shared" si="39"/>
        <v>1.1392055650902826</v>
      </c>
      <c r="G115" s="34">
        <f t="shared" si="40"/>
        <v>1.0187939259075574</v>
      </c>
      <c r="H115" s="34">
        <f t="shared" si="41"/>
        <v>1.0569690879072833</v>
      </c>
      <c r="I115" s="34">
        <f t="shared" si="42"/>
        <v>1.6689071462598131</v>
      </c>
      <c r="J115" s="34">
        <f t="shared" si="43"/>
        <v>1.8122108313049379</v>
      </c>
      <c r="K115" s="34">
        <f t="shared" si="44"/>
        <v>2.3540110022774585</v>
      </c>
      <c r="L115" s="34">
        <f t="shared" si="45"/>
        <v>2.1736023649023433</v>
      </c>
      <c r="M115" s="34">
        <f t="shared" si="46"/>
        <v>3.8720512134480982</v>
      </c>
      <c r="N115" s="34">
        <f t="shared" si="47"/>
        <v>6.1056179481992414</v>
      </c>
      <c r="O115" s="34">
        <f t="shared" si="48"/>
        <v>6.3390737465821809</v>
      </c>
      <c r="P115" s="34">
        <f t="shared" si="49"/>
        <v>4.8101160916464911</v>
      </c>
      <c r="Q115" s="34">
        <f t="shared" si="50"/>
        <v>5.2180747972148449</v>
      </c>
    </row>
    <row r="116" spans="1:17" ht="28.8">
      <c r="A116" s="91" t="s">
        <v>128</v>
      </c>
      <c r="B116" s="33">
        <f t="shared" si="35"/>
        <v>1</v>
      </c>
      <c r="C116" s="34">
        <f t="shared" si="36"/>
        <v>1.2285277875690284</v>
      </c>
      <c r="D116" s="34">
        <f t="shared" si="37"/>
        <v>1.4676888732228881</v>
      </c>
      <c r="E116" s="34">
        <f t="shared" si="38"/>
        <v>1.2557866290682647</v>
      </c>
      <c r="F116" s="34">
        <f t="shared" si="39"/>
        <v>1.1557396310656798</v>
      </c>
      <c r="G116" s="34">
        <f t="shared" si="40"/>
        <v>1.5842439196334155</v>
      </c>
      <c r="H116" s="34">
        <f t="shared" si="41"/>
        <v>1.9129362002114909</v>
      </c>
      <c r="I116" s="34">
        <f t="shared" si="42"/>
        <v>2.4014216895781928</v>
      </c>
      <c r="J116" s="34">
        <f t="shared" si="43"/>
        <v>2.6382916226060393</v>
      </c>
      <c r="K116" s="34">
        <f t="shared" si="44"/>
        <v>3.2233580072846904</v>
      </c>
      <c r="L116" s="34">
        <f t="shared" si="45"/>
        <v>3.2521442838679357</v>
      </c>
      <c r="M116" s="34">
        <f t="shared" si="46"/>
        <v>4.8565385971096227</v>
      </c>
      <c r="N116" s="34">
        <f t="shared" si="47"/>
        <v>6.4518270473504877</v>
      </c>
      <c r="O116" s="34">
        <f t="shared" si="48"/>
        <v>6.8261661379391372</v>
      </c>
      <c r="P116" s="34">
        <f t="shared" si="49"/>
        <v>6.3013746915756084</v>
      </c>
      <c r="Q116" s="34">
        <f t="shared" si="50"/>
        <v>6.083362707084949</v>
      </c>
    </row>
    <row r="117" spans="1:17" ht="15" customHeight="1">
      <c r="A117" s="67" t="s">
        <v>157</v>
      </c>
      <c r="B117" s="33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 spans="1:17" ht="15" customHeight="1">
      <c r="A118" s="67" t="s">
        <v>158</v>
      </c>
      <c r="B118" s="33">
        <f t="shared" si="35"/>
        <v>1</v>
      </c>
      <c r="C118" s="34">
        <f t="shared" si="36"/>
        <v>3.7029623698959166E-2</v>
      </c>
      <c r="D118" s="34">
        <f t="shared" si="37"/>
        <v>3.3735988791032825</v>
      </c>
      <c r="E118" s="34">
        <f t="shared" si="38"/>
        <v>0.95256204963971181</v>
      </c>
      <c r="F118" s="34">
        <f t="shared" si="39"/>
        <v>0.86238991192954362</v>
      </c>
      <c r="G118" s="34">
        <f t="shared" si="40"/>
        <v>1.8476781425140112</v>
      </c>
      <c r="H118" s="34">
        <f t="shared" si="41"/>
        <v>6.6603282626100881</v>
      </c>
      <c r="I118" s="34">
        <f t="shared" si="42"/>
        <v>13.883506805444355</v>
      </c>
      <c r="J118" s="34">
        <f t="shared" si="43"/>
        <v>3.8862089671737392</v>
      </c>
      <c r="K118" s="34">
        <f t="shared" si="44"/>
        <v>0</v>
      </c>
      <c r="L118" s="34">
        <f t="shared" si="45"/>
        <v>2.4752802241793437</v>
      </c>
      <c r="M118" s="34">
        <f t="shared" si="46"/>
        <v>3.3264611689351482</v>
      </c>
      <c r="N118" s="34">
        <f t="shared" si="47"/>
        <v>3.381204963971177</v>
      </c>
      <c r="O118" s="34">
        <f t="shared" si="48"/>
        <v>5.4194355484387513</v>
      </c>
      <c r="P118" s="34">
        <f t="shared" si="49"/>
        <v>4.2235788630904727</v>
      </c>
      <c r="Q118" s="34">
        <f t="shared" si="50"/>
        <v>7.4696757405924741</v>
      </c>
    </row>
    <row r="119" spans="1:17" ht="15" customHeight="1">
      <c r="A119" s="67" t="s">
        <v>159</v>
      </c>
      <c r="B119" s="33">
        <f t="shared" si="35"/>
        <v>1</v>
      </c>
      <c r="C119" s="34">
        <f t="shared" si="36"/>
        <v>0.97948962556642027</v>
      </c>
      <c r="D119" s="34">
        <f t="shared" si="37"/>
        <v>1.0138325781063677</v>
      </c>
      <c r="E119" s="34">
        <f t="shared" si="38"/>
        <v>1.2475554495587884</v>
      </c>
      <c r="F119" s="34">
        <f t="shared" si="39"/>
        <v>2.401323634629144</v>
      </c>
      <c r="G119" s="34">
        <f t="shared" si="40"/>
        <v>0</v>
      </c>
      <c r="H119" s="34">
        <f t="shared" si="41"/>
        <v>0</v>
      </c>
      <c r="I119" s="34">
        <f t="shared" si="42"/>
        <v>0</v>
      </c>
      <c r="J119" s="34">
        <f t="shared" si="43"/>
        <v>0</v>
      </c>
      <c r="K119" s="34">
        <f t="shared" si="44"/>
        <v>0</v>
      </c>
      <c r="L119" s="34">
        <f t="shared" si="45"/>
        <v>0</v>
      </c>
      <c r="M119" s="34">
        <f t="shared" si="46"/>
        <v>0</v>
      </c>
      <c r="N119" s="34">
        <f t="shared" si="47"/>
        <v>0</v>
      </c>
      <c r="O119" s="34">
        <f t="shared" si="48"/>
        <v>0</v>
      </c>
      <c r="P119" s="34">
        <f t="shared" si="49"/>
        <v>0</v>
      </c>
      <c r="Q119" s="34">
        <f t="shared" si="50"/>
        <v>0</v>
      </c>
    </row>
    <row r="120" spans="1:17" ht="15" customHeight="1">
      <c r="A120" s="69" t="s">
        <v>129</v>
      </c>
      <c r="B120" s="87">
        <f t="shared" si="35"/>
        <v>1</v>
      </c>
      <c r="C120" s="84">
        <f t="shared" si="36"/>
        <v>1.3167878969396083</v>
      </c>
      <c r="D120" s="84">
        <f t="shared" si="37"/>
        <v>0.92976141036104099</v>
      </c>
      <c r="E120" s="84">
        <f t="shared" si="38"/>
        <v>1.3171953998928914</v>
      </c>
      <c r="F120" s="84">
        <f t="shared" si="39"/>
        <v>1.8854571548500088</v>
      </c>
      <c r="G120" s="84">
        <f t="shared" si="40"/>
        <v>4.0077047006467721</v>
      </c>
      <c r="H120" s="84">
        <f t="shared" si="41"/>
        <v>1.5946837565537275</v>
      </c>
      <c r="I120" s="84">
        <f t="shared" si="42"/>
        <v>2.3229639048135451</v>
      </c>
      <c r="J120" s="84">
        <f t="shared" si="43"/>
        <v>2.0087557465153489</v>
      </c>
      <c r="K120" s="84">
        <f t="shared" si="44"/>
        <v>2.5462799767968263</v>
      </c>
      <c r="L120" s="84">
        <f t="shared" si="45"/>
        <v>3.4971268815001455</v>
      </c>
      <c r="M120" s="84">
        <f t="shared" si="46"/>
        <v>5.2130427666555699</v>
      </c>
      <c r="N120" s="84">
        <f t="shared" si="47"/>
        <v>5.3052174852168843</v>
      </c>
      <c r="O120" s="84">
        <f t="shared" si="48"/>
        <v>6.2227660543359535</v>
      </c>
      <c r="P120" s="84">
        <f t="shared" si="49"/>
        <v>4.0544361595407468</v>
      </c>
      <c r="Q120" s="84">
        <f t="shared" si="50"/>
        <v>5.9690097344216406</v>
      </c>
    </row>
    <row r="121" spans="1:17" ht="15" customHeight="1">
      <c r="A121" s="70"/>
      <c r="B121" s="33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 spans="1:17" ht="15" customHeight="1">
      <c r="A122" s="70" t="s">
        <v>160</v>
      </c>
      <c r="B122" s="33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 spans="1:17" ht="15" customHeight="1">
      <c r="A123" s="67" t="s">
        <v>161</v>
      </c>
      <c r="B123" s="33">
        <f t="shared" si="35"/>
        <v>1</v>
      </c>
      <c r="C123" s="34">
        <f t="shared" si="36"/>
        <v>0.52488175790355063</v>
      </c>
      <c r="D123" s="34">
        <f t="shared" si="37"/>
        <v>0.48412500848627488</v>
      </c>
      <c r="E123" s="34">
        <f t="shared" si="38"/>
        <v>0.22159360926927515</v>
      </c>
      <c r="F123" s="34">
        <f t="shared" si="39"/>
        <v>0.97173504718368819</v>
      </c>
      <c r="G123" s="34">
        <f t="shared" si="40"/>
        <v>0.34732625766593495</v>
      </c>
      <c r="H123" s="34">
        <f t="shared" si="41"/>
        <v>5.4176378736789696E-2</v>
      </c>
      <c r="I123" s="34">
        <f t="shared" si="42"/>
        <v>5.3542736880219058E-2</v>
      </c>
      <c r="J123" s="34">
        <f t="shared" si="43"/>
        <v>0</v>
      </c>
      <c r="K123" s="34">
        <f t="shared" si="44"/>
        <v>0</v>
      </c>
      <c r="L123" s="34">
        <f t="shared" si="45"/>
        <v>1.0023082667632217</v>
      </c>
      <c r="M123" s="34">
        <f t="shared" si="46"/>
        <v>2.2498585620855871</v>
      </c>
      <c r="N123" s="34">
        <f t="shared" si="47"/>
        <v>1.3904591640453507</v>
      </c>
      <c r="O123" s="34">
        <f t="shared" si="48"/>
        <v>1.7296385978410918</v>
      </c>
      <c r="P123" s="34">
        <f t="shared" si="49"/>
        <v>0</v>
      </c>
      <c r="Q123" s="34">
        <f t="shared" si="50"/>
        <v>1.0936884745072304</v>
      </c>
    </row>
    <row r="124" spans="1:17" ht="15" customHeight="1">
      <c r="A124" s="67" t="s">
        <v>162</v>
      </c>
      <c r="B124" s="33">
        <f t="shared" si="35"/>
        <v>1</v>
      </c>
      <c r="C124" s="34">
        <f t="shared" si="36"/>
        <v>1.3067928569361233</v>
      </c>
      <c r="D124" s="34">
        <f t="shared" si="37"/>
        <v>2.0010129952823363</v>
      </c>
      <c r="E124" s="34">
        <f t="shared" si="38"/>
        <v>2.5510983763132762</v>
      </c>
      <c r="F124" s="34">
        <f t="shared" si="39"/>
        <v>2.609360076408787</v>
      </c>
      <c r="G124" s="34">
        <f t="shared" si="40"/>
        <v>2.8176897919018264</v>
      </c>
      <c r="H124" s="34">
        <f t="shared" si="41"/>
        <v>5.017018320743249</v>
      </c>
      <c r="I124" s="34">
        <f t="shared" si="42"/>
        <v>6.6648143324361087</v>
      </c>
      <c r="J124" s="34">
        <f t="shared" si="43"/>
        <v>7.034557610488843</v>
      </c>
      <c r="K124" s="34">
        <f t="shared" si="44"/>
        <v>8.6434546033399897</v>
      </c>
      <c r="L124" s="34">
        <f t="shared" si="45"/>
        <v>9.1070012445370612</v>
      </c>
      <c r="M124" s="34">
        <f t="shared" si="46"/>
        <v>9.0808659662527855</v>
      </c>
      <c r="N124" s="34">
        <f t="shared" si="47"/>
        <v>14.960406355821828</v>
      </c>
      <c r="O124" s="34">
        <f t="shared" si="48"/>
        <v>25.782061300685942</v>
      </c>
      <c r="P124" s="34">
        <f t="shared" si="49"/>
        <v>30.303724928366762</v>
      </c>
      <c r="Q124" s="34">
        <f t="shared" si="50"/>
        <v>31.302827703973836</v>
      </c>
    </row>
    <row r="125" spans="1:17" ht="15" customHeight="1">
      <c r="A125" s="67" t="s">
        <v>163</v>
      </c>
      <c r="B125" s="33">
        <f t="shared" si="35"/>
        <v>1</v>
      </c>
      <c r="C125" s="34">
        <f t="shared" si="36"/>
        <v>1.0017272338606242</v>
      </c>
      <c r="D125" s="34">
        <f t="shared" si="37"/>
        <v>1.0175801624625909</v>
      </c>
      <c r="E125" s="34">
        <f t="shared" si="38"/>
        <v>1.0878324070115435</v>
      </c>
      <c r="F125" s="34">
        <f t="shared" si="39"/>
        <v>0.92528430953398888</v>
      </c>
      <c r="G125" s="34">
        <f t="shared" si="40"/>
        <v>2.4021889696451475</v>
      </c>
      <c r="H125" s="34">
        <f t="shared" si="41"/>
        <v>2.7286190679777684</v>
      </c>
      <c r="I125" s="34">
        <f t="shared" si="42"/>
        <v>1.5790166737922189</v>
      </c>
      <c r="J125" s="34">
        <f t="shared" si="43"/>
        <v>1.4653612654980761</v>
      </c>
      <c r="K125" s="34">
        <f t="shared" si="44"/>
        <v>0</v>
      </c>
      <c r="L125" s="34">
        <f t="shared" si="45"/>
        <v>4.1325352714835404</v>
      </c>
      <c r="M125" s="34">
        <f t="shared" si="46"/>
        <v>3.851577597263788</v>
      </c>
      <c r="N125" s="34">
        <f t="shared" si="47"/>
        <v>3.0276015391192819</v>
      </c>
      <c r="O125" s="34">
        <f t="shared" si="48"/>
        <v>2.9927832407011543</v>
      </c>
      <c r="P125" s="34">
        <f t="shared" si="49"/>
        <v>3.1510902094912354</v>
      </c>
      <c r="Q125" s="34">
        <f t="shared" si="50"/>
        <v>3.2260966224882428</v>
      </c>
    </row>
    <row r="126" spans="1:17" ht="15" customHeight="1">
      <c r="A126" s="67" t="s">
        <v>164</v>
      </c>
      <c r="B126" s="33">
        <f t="shared" si="35"/>
        <v>1</v>
      </c>
      <c r="C126" s="34">
        <f t="shared" si="36"/>
        <v>1.1172776803028903</v>
      </c>
      <c r="D126" s="34">
        <f t="shared" si="37"/>
        <v>1.2616123372425894</v>
      </c>
      <c r="E126" s="34">
        <f t="shared" si="38"/>
        <v>1.5184689260319513</v>
      </c>
      <c r="F126" s="34">
        <f t="shared" si="39"/>
        <v>1.171576322836827</v>
      </c>
      <c r="G126" s="34">
        <f t="shared" si="40"/>
        <v>9.8805522208883545</v>
      </c>
      <c r="H126" s="34">
        <f t="shared" si="41"/>
        <v>23.839574291254962</v>
      </c>
      <c r="I126" s="34">
        <f t="shared" si="42"/>
        <v>23.873049219687875</v>
      </c>
      <c r="J126" s="34">
        <f t="shared" si="43"/>
        <v>24.145304275556377</v>
      </c>
      <c r="K126" s="34">
        <f t="shared" si="44"/>
        <v>24.289061778557578</v>
      </c>
      <c r="L126" s="34">
        <f t="shared" si="45"/>
        <v>24.449302798042293</v>
      </c>
      <c r="M126" s="34">
        <f t="shared" si="46"/>
        <v>24.75727213962508</v>
      </c>
      <c r="N126" s="34">
        <f t="shared" si="47"/>
        <v>28.174577523317019</v>
      </c>
      <c r="O126" s="34">
        <f t="shared" si="48"/>
        <v>32.947155785391082</v>
      </c>
      <c r="P126" s="34">
        <f t="shared" si="49"/>
        <v>32.649644473173886</v>
      </c>
      <c r="Q126" s="34">
        <f t="shared" si="50"/>
        <v>31.841998337796657</v>
      </c>
    </row>
    <row r="127" spans="1:17" ht="15" customHeight="1">
      <c r="A127" s="67" t="s">
        <v>165</v>
      </c>
      <c r="B127" s="33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 spans="1:17" ht="15" customHeight="1">
      <c r="A128" s="67" t="s">
        <v>166</v>
      </c>
      <c r="B128" s="33">
        <f t="shared" si="35"/>
        <v>1</v>
      </c>
      <c r="C128" s="34">
        <f t="shared" si="36"/>
        <v>1.2779228314476356</v>
      </c>
      <c r="D128" s="34">
        <f t="shared" si="37"/>
        <v>1.0374238468233246</v>
      </c>
      <c r="E128" s="34">
        <f t="shared" si="38"/>
        <v>2.9434290687554396</v>
      </c>
      <c r="F128" s="34">
        <f t="shared" si="39"/>
        <v>2.1746446185088484</v>
      </c>
      <c r="G128" s="34">
        <f t="shared" si="40"/>
        <v>3.1546272120684655</v>
      </c>
      <c r="H128" s="34">
        <f t="shared" si="41"/>
        <v>6.275021758050479</v>
      </c>
      <c r="I128" s="34">
        <f t="shared" si="42"/>
        <v>4.0417754569190603</v>
      </c>
      <c r="J128" s="34">
        <f t="shared" si="43"/>
        <v>4.7757470263997677</v>
      </c>
      <c r="K128" s="34">
        <f t="shared" si="44"/>
        <v>15.657963446475195</v>
      </c>
      <c r="L128" s="34">
        <f t="shared" si="45"/>
        <v>20.445314766463593</v>
      </c>
      <c r="M128" s="34">
        <f t="shared" si="46"/>
        <v>23.281694226863941</v>
      </c>
      <c r="N128" s="34">
        <f t="shared" si="47"/>
        <v>39.013054830287203</v>
      </c>
      <c r="O128" s="34">
        <f t="shared" si="48"/>
        <v>31.974470554105018</v>
      </c>
      <c r="P128" s="34">
        <f t="shared" si="49"/>
        <v>29.128517551494053</v>
      </c>
      <c r="Q128" s="34">
        <f t="shared" si="50"/>
        <v>46.252103278212935</v>
      </c>
    </row>
    <row r="129" spans="1:17" ht="15" customHeight="1">
      <c r="A129" s="67" t="s">
        <v>167</v>
      </c>
      <c r="B129" s="33">
        <f t="shared" si="35"/>
        <v>1</v>
      </c>
      <c r="C129" s="34">
        <f t="shared" si="36"/>
        <v>0.97686679929121956</v>
      </c>
      <c r="D129" s="34">
        <f t="shared" si="37"/>
        <v>1.131966865603496</v>
      </c>
      <c r="E129" s="34">
        <f t="shared" si="38"/>
        <v>1.2907304134189959</v>
      </c>
      <c r="F129" s="34">
        <f t="shared" si="39"/>
        <v>1.3341051647479589</v>
      </c>
      <c r="G129" s="34">
        <f t="shared" si="40"/>
        <v>10.717286849514617</v>
      </c>
      <c r="H129" s="34">
        <f t="shared" si="41"/>
        <v>14.790904347258911</v>
      </c>
      <c r="I129" s="34">
        <f t="shared" si="42"/>
        <v>14.700860972507583</v>
      </c>
      <c r="J129" s="34">
        <f t="shared" si="43"/>
        <v>14.799166204654904</v>
      </c>
      <c r="K129" s="34">
        <f t="shared" si="44"/>
        <v>14.873305503918948</v>
      </c>
      <c r="L129" s="34">
        <f t="shared" si="45"/>
        <v>16.641995238561133</v>
      </c>
      <c r="M129" s="34">
        <f t="shared" si="46"/>
        <v>16.973083738273054</v>
      </c>
      <c r="N129" s="34">
        <f t="shared" si="47"/>
        <v>19.177336420658992</v>
      </c>
      <c r="O129" s="34">
        <f t="shared" si="48"/>
        <v>22.271825979193164</v>
      </c>
      <c r="P129" s="34">
        <f t="shared" si="49"/>
        <v>22.163438019763234</v>
      </c>
      <c r="Q129" s="34">
        <f t="shared" si="50"/>
        <v>22.76827120633989</v>
      </c>
    </row>
    <row r="130" spans="1:17" ht="15" customHeight="1">
      <c r="A130" s="76" t="s">
        <v>168</v>
      </c>
      <c r="B130" s="87">
        <f t="shared" si="35"/>
        <v>1</v>
      </c>
      <c r="C130" s="84">
        <f t="shared" si="36"/>
        <v>1.258996369201141</v>
      </c>
      <c r="D130" s="84">
        <f t="shared" si="37"/>
        <v>0.96413927703762303</v>
      </c>
      <c r="E130" s="84">
        <f t="shared" si="38"/>
        <v>1.3126959674937693</v>
      </c>
      <c r="F130" s="84">
        <f t="shared" si="39"/>
        <v>1.7917193020068736</v>
      </c>
      <c r="G130" s="84">
        <f t="shared" si="40"/>
        <v>5.1484311973319308</v>
      </c>
      <c r="H130" s="84">
        <f t="shared" si="41"/>
        <v>3.8382330789895125</v>
      </c>
      <c r="I130" s="84">
        <f t="shared" si="42"/>
        <v>4.4273863330779726</v>
      </c>
      <c r="J130" s="84">
        <f t="shared" si="43"/>
        <v>4.1833114475049697</v>
      </c>
      <c r="K130" s="84">
        <f t="shared" si="44"/>
        <v>4.6420535036885555</v>
      </c>
      <c r="L130" s="84">
        <f t="shared" si="45"/>
        <v>5.7319455777535255</v>
      </c>
      <c r="M130" s="84">
        <f t="shared" si="46"/>
        <v>7.2124206773486756</v>
      </c>
      <c r="N130" s="84">
        <f t="shared" si="47"/>
        <v>7.6636793512060928</v>
      </c>
      <c r="O130" s="84">
        <f t="shared" si="48"/>
        <v>8.9513395328292038</v>
      </c>
      <c r="P130" s="84">
        <f t="shared" si="49"/>
        <v>7.1332297106357734</v>
      </c>
      <c r="Q130" s="84">
        <f t="shared" si="50"/>
        <v>8.8251283809446353</v>
      </c>
    </row>
    <row r="131" spans="1:17" ht="15" customHeight="1">
      <c r="A131" s="70"/>
      <c r="B131" s="33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 spans="1:17" ht="15" customHeight="1">
      <c r="A132" s="70" t="s">
        <v>169</v>
      </c>
      <c r="B132" s="33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 spans="1:17" ht="15" customHeight="1">
      <c r="A133" s="67" t="s">
        <v>170</v>
      </c>
      <c r="B133" s="33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 spans="1:17" ht="15" customHeight="1">
      <c r="A134" s="67" t="s">
        <v>130</v>
      </c>
      <c r="B134" s="33">
        <f t="shared" si="35"/>
        <v>1</v>
      </c>
      <c r="C134" s="34">
        <f t="shared" si="36"/>
        <v>1.3241590214067278</v>
      </c>
      <c r="D134" s="34">
        <f t="shared" si="37"/>
        <v>1.486215187804935</v>
      </c>
      <c r="E134" s="34">
        <f t="shared" si="38"/>
        <v>1.3933748861965123</v>
      </c>
      <c r="F134" s="34">
        <f t="shared" si="39"/>
        <v>1.4898452272568108</v>
      </c>
      <c r="G134" s="34">
        <f t="shared" si="40"/>
        <v>1.6896958237038076</v>
      </c>
      <c r="H134" s="34">
        <f t="shared" si="41"/>
        <v>2.2558769288232137</v>
      </c>
      <c r="I134" s="34">
        <f t="shared" si="42"/>
        <v>2.870299040549058</v>
      </c>
      <c r="J134" s="34">
        <f t="shared" si="43"/>
        <v>2.9035646753974369</v>
      </c>
      <c r="K134" s="34">
        <f t="shared" si="44"/>
        <v>3.1986950533417371</v>
      </c>
      <c r="L134" s="34">
        <f t="shared" si="45"/>
        <v>3.4642948852627402</v>
      </c>
      <c r="M134" s="34">
        <f t="shared" si="46"/>
        <v>4.718619417793029</v>
      </c>
      <c r="N134" s="34">
        <f t="shared" si="47"/>
        <v>5.1855288652333265</v>
      </c>
      <c r="O134" s="34">
        <f t="shared" si="48"/>
        <v>6.5875178000326819</v>
      </c>
      <c r="P134" s="34">
        <f t="shared" si="49"/>
        <v>5.4482690197726269</v>
      </c>
      <c r="Q134" s="34">
        <f t="shared" si="50"/>
        <v>6.6061348833951961</v>
      </c>
    </row>
    <row r="135" spans="1:17" ht="15" customHeight="1">
      <c r="A135" s="67" t="s">
        <v>131</v>
      </c>
      <c r="B135" s="33">
        <f t="shared" si="35"/>
        <v>1</v>
      </c>
      <c r="C135" s="34">
        <f t="shared" si="36"/>
        <v>1.3424887656965268</v>
      </c>
      <c r="D135" s="34">
        <f t="shared" si="37"/>
        <v>1.6343706690185209</v>
      </c>
      <c r="E135" s="34">
        <f t="shared" si="38"/>
        <v>2.4825920792910838</v>
      </c>
      <c r="F135" s="34">
        <f t="shared" si="39"/>
        <v>1.6912771408172693</v>
      </c>
      <c r="G135" s="34">
        <f t="shared" si="40"/>
        <v>3.4347990424593675</v>
      </c>
      <c r="H135" s="34">
        <f t="shared" si="41"/>
        <v>3.3398849271345177</v>
      </c>
      <c r="I135" s="34">
        <f t="shared" si="42"/>
        <v>3.6737222292217884</v>
      </c>
      <c r="J135" s="34">
        <f t="shared" si="43"/>
        <v>4.725001049934904</v>
      </c>
      <c r="K135" s="34">
        <f t="shared" si="44"/>
        <v>4.7908529671160389</v>
      </c>
      <c r="L135" s="34">
        <f t="shared" si="45"/>
        <v>5.9910545546176133</v>
      </c>
      <c r="M135" s="34">
        <f t="shared" si="46"/>
        <v>8.8599386838016034</v>
      </c>
      <c r="N135" s="34">
        <f t="shared" si="47"/>
        <v>7.2651715593633197</v>
      </c>
      <c r="O135" s="34">
        <f t="shared" si="48"/>
        <v>7.7270169249506528</v>
      </c>
      <c r="P135" s="34">
        <f t="shared" si="49"/>
        <v>9.2715131661836967</v>
      </c>
      <c r="Q135" s="34">
        <f t="shared" si="50"/>
        <v>12.854773004073747</v>
      </c>
    </row>
    <row r="136" spans="1:17" ht="15" customHeight="1">
      <c r="A136" s="67" t="s">
        <v>171</v>
      </c>
      <c r="B136" s="33">
        <f t="shared" si="35"/>
        <v>1</v>
      </c>
      <c r="C136" s="34">
        <f t="shared" si="36"/>
        <v>0</v>
      </c>
      <c r="D136" s="34">
        <f t="shared" si="37"/>
        <v>0</v>
      </c>
      <c r="E136" s="34">
        <f t="shared" si="38"/>
        <v>0</v>
      </c>
      <c r="F136" s="34">
        <f t="shared" si="39"/>
        <v>0</v>
      </c>
      <c r="G136" s="34">
        <f t="shared" si="40"/>
        <v>27.071253071253071</v>
      </c>
      <c r="H136" s="34">
        <f t="shared" si="41"/>
        <v>20.108108108108109</v>
      </c>
      <c r="I136" s="34">
        <f t="shared" si="42"/>
        <v>0.22358722358722358</v>
      </c>
      <c r="J136" s="34">
        <f t="shared" si="43"/>
        <v>0</v>
      </c>
      <c r="K136" s="34">
        <f t="shared" si="44"/>
        <v>0</v>
      </c>
      <c r="L136" s="34">
        <f t="shared" si="45"/>
        <v>0</v>
      </c>
      <c r="M136" s="34">
        <f t="shared" si="46"/>
        <v>0</v>
      </c>
      <c r="N136" s="34">
        <f t="shared" si="47"/>
        <v>0</v>
      </c>
      <c r="O136" s="34">
        <f t="shared" si="48"/>
        <v>0</v>
      </c>
      <c r="P136" s="34">
        <f t="shared" si="49"/>
        <v>0</v>
      </c>
      <c r="Q136" s="34">
        <f t="shared" si="50"/>
        <v>0</v>
      </c>
    </row>
    <row r="137" spans="1:17" ht="15" customHeight="1">
      <c r="A137" s="67" t="s">
        <v>133</v>
      </c>
      <c r="B137" s="33">
        <f t="shared" si="35"/>
        <v>1</v>
      </c>
      <c r="C137" s="34">
        <f t="shared" si="36"/>
        <v>1.1423076923076922</v>
      </c>
      <c r="D137" s="34">
        <f t="shared" si="37"/>
        <v>1.2519723865877712</v>
      </c>
      <c r="E137" s="34">
        <f t="shared" si="38"/>
        <v>1.3641025641025641</v>
      </c>
      <c r="F137" s="34">
        <f t="shared" si="39"/>
        <v>4.923668639053254</v>
      </c>
      <c r="G137" s="34">
        <f t="shared" si="40"/>
        <v>3.1825443786982248</v>
      </c>
      <c r="H137" s="34">
        <f t="shared" si="41"/>
        <v>4.1096646942800792</v>
      </c>
      <c r="I137" s="34">
        <f t="shared" si="42"/>
        <v>4.2639053254437869</v>
      </c>
      <c r="J137" s="34">
        <f t="shared" si="43"/>
        <v>4.3436883629191323</v>
      </c>
      <c r="K137" s="34">
        <f t="shared" si="44"/>
        <v>0</v>
      </c>
      <c r="L137" s="34">
        <f t="shared" si="45"/>
        <v>4.4801775147928993</v>
      </c>
      <c r="M137" s="34">
        <f t="shared" si="46"/>
        <v>4.1942800788954635</v>
      </c>
      <c r="N137" s="34">
        <f t="shared" si="47"/>
        <v>4.2713017751479292</v>
      </c>
      <c r="O137" s="34">
        <f t="shared" si="48"/>
        <v>4.13353057199211</v>
      </c>
      <c r="P137" s="34">
        <f t="shared" si="49"/>
        <v>4.5176528599605525</v>
      </c>
      <c r="Q137" s="34">
        <f t="shared" si="50"/>
        <v>4.4697238658777119</v>
      </c>
    </row>
    <row r="138" spans="1:17" ht="15" customHeight="1">
      <c r="A138" s="67" t="s">
        <v>172</v>
      </c>
      <c r="B138" s="33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</row>
    <row r="139" spans="1:17" ht="15" customHeight="1">
      <c r="A139" s="67" t="s">
        <v>132</v>
      </c>
      <c r="B139" s="33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</row>
    <row r="140" spans="1:17" ht="15" customHeight="1">
      <c r="A140" s="67" t="s">
        <v>134</v>
      </c>
      <c r="B140" s="33">
        <f t="shared" si="35"/>
        <v>1</v>
      </c>
      <c r="C140" s="34">
        <f t="shared" si="36"/>
        <v>1.3616993292121531</v>
      </c>
      <c r="D140" s="34">
        <f t="shared" si="37"/>
        <v>1.7001183743259241</v>
      </c>
      <c r="E140" s="34">
        <f t="shared" si="38"/>
        <v>1.9550177561488886</v>
      </c>
      <c r="F140" s="34">
        <f t="shared" si="39"/>
        <v>2.3652505589898722</v>
      </c>
      <c r="G140" s="34">
        <f t="shared" si="40"/>
        <v>2.9145074312771273</v>
      </c>
      <c r="H140" s="34">
        <f t="shared" si="41"/>
        <v>3.9514665263711692</v>
      </c>
      <c r="I140" s="34">
        <f t="shared" si="42"/>
        <v>4.6029199000394581</v>
      </c>
      <c r="J140" s="34">
        <f t="shared" si="43"/>
        <v>5.2483230303827435</v>
      </c>
      <c r="K140" s="34">
        <f t="shared" si="44"/>
        <v>0</v>
      </c>
      <c r="L140" s="34">
        <f t="shared" si="45"/>
        <v>7.2359594896751283</v>
      </c>
      <c r="M140" s="34">
        <f t="shared" si="46"/>
        <v>8.609627778508484</v>
      </c>
      <c r="N140" s="34">
        <f t="shared" si="47"/>
        <v>9.5308430882546364</v>
      </c>
      <c r="O140" s="34">
        <f t="shared" si="48"/>
        <v>11.494410101275813</v>
      </c>
      <c r="P140" s="34">
        <f t="shared" si="49"/>
        <v>12.160199921083782</v>
      </c>
      <c r="Q140" s="34">
        <f t="shared" si="50"/>
        <v>14.997106405366303</v>
      </c>
    </row>
    <row r="141" spans="1:17" ht="15" customHeight="1">
      <c r="A141" s="67" t="s">
        <v>135</v>
      </c>
      <c r="B141" s="33">
        <f t="shared" si="35"/>
        <v>1</v>
      </c>
      <c r="C141" s="34">
        <f t="shared" si="36"/>
        <v>11.887567567567567</v>
      </c>
      <c r="D141" s="34">
        <f t="shared" si="37"/>
        <v>5.9135135135135135</v>
      </c>
      <c r="E141" s="34">
        <f t="shared" si="38"/>
        <v>10.117837837837838</v>
      </c>
      <c r="F141" s="34">
        <f t="shared" si="39"/>
        <v>6.3221621621621624</v>
      </c>
      <c r="G141" s="34">
        <f t="shared" si="40"/>
        <v>2.9729729729729728</v>
      </c>
      <c r="H141" s="34">
        <f t="shared" si="41"/>
        <v>8.2778378378378381</v>
      </c>
      <c r="I141" s="34">
        <f t="shared" si="42"/>
        <v>11.508108108108107</v>
      </c>
      <c r="J141" s="34">
        <f t="shared" si="43"/>
        <v>11.015135135135136</v>
      </c>
      <c r="K141" s="34">
        <f t="shared" si="44"/>
        <v>15.910270270270271</v>
      </c>
      <c r="L141" s="34">
        <f t="shared" si="45"/>
        <v>25.332972972972971</v>
      </c>
      <c r="M141" s="34">
        <f t="shared" si="46"/>
        <v>32.863783783783781</v>
      </c>
      <c r="N141" s="34">
        <f t="shared" si="47"/>
        <v>14.396756756756757</v>
      </c>
      <c r="O141" s="34">
        <f t="shared" si="48"/>
        <v>16.167567567567566</v>
      </c>
      <c r="P141" s="34">
        <f t="shared" si="49"/>
        <v>4.330810810810811</v>
      </c>
      <c r="Q141" s="34">
        <f t="shared" si="50"/>
        <v>34.924324324324324</v>
      </c>
    </row>
    <row r="142" spans="1:17" ht="15" customHeight="1">
      <c r="A142" s="67" t="s">
        <v>173</v>
      </c>
      <c r="B142" s="33">
        <f t="shared" si="35"/>
        <v>1</v>
      </c>
      <c r="C142" s="34">
        <f t="shared" si="36"/>
        <v>0</v>
      </c>
      <c r="D142" s="34">
        <f t="shared" si="37"/>
        <v>0</v>
      </c>
      <c r="E142" s="34">
        <f t="shared" si="38"/>
        <v>0</v>
      </c>
      <c r="F142" s="34">
        <f t="shared" si="39"/>
        <v>0</v>
      </c>
      <c r="G142" s="34">
        <f t="shared" si="40"/>
        <v>0</v>
      </c>
      <c r="H142" s="34">
        <f t="shared" si="41"/>
        <v>0</v>
      </c>
      <c r="I142" s="34">
        <f t="shared" si="42"/>
        <v>0</v>
      </c>
      <c r="J142" s="34">
        <f t="shared" si="43"/>
        <v>0</v>
      </c>
      <c r="K142" s="34">
        <f t="shared" si="44"/>
        <v>0</v>
      </c>
      <c r="L142" s="34">
        <f t="shared" si="45"/>
        <v>0</v>
      </c>
      <c r="M142" s="34">
        <f t="shared" si="46"/>
        <v>0</v>
      </c>
      <c r="N142" s="34">
        <f t="shared" si="47"/>
        <v>0</v>
      </c>
      <c r="O142" s="34">
        <f t="shared" si="48"/>
        <v>0</v>
      </c>
      <c r="P142" s="34">
        <f t="shared" si="49"/>
        <v>0</v>
      </c>
      <c r="Q142" s="34">
        <f t="shared" si="50"/>
        <v>0</v>
      </c>
    </row>
    <row r="143" spans="1:17" ht="15" customHeight="1">
      <c r="A143" s="69" t="s">
        <v>174</v>
      </c>
      <c r="B143" s="87">
        <f t="shared" si="35"/>
        <v>1</v>
      </c>
      <c r="C143" s="84">
        <f t="shared" si="36"/>
        <v>2.0653709424530793</v>
      </c>
      <c r="D143" s="84">
        <f t="shared" si="37"/>
        <v>2.2396649952652252</v>
      </c>
      <c r="E143" s="84">
        <f t="shared" si="38"/>
        <v>2.452877346042194</v>
      </c>
      <c r="F143" s="84">
        <f t="shared" si="39"/>
        <v>2.7610413400189393</v>
      </c>
      <c r="G143" s="84">
        <f t="shared" si="40"/>
        <v>3.1845397953956254</v>
      </c>
      <c r="H143" s="84">
        <f t="shared" si="41"/>
        <v>3.6526770883462438</v>
      </c>
      <c r="I143" s="84">
        <f t="shared" si="42"/>
        <v>4.3494031078752506</v>
      </c>
      <c r="J143" s="84">
        <f t="shared" si="43"/>
        <v>4.6660431252619654</v>
      </c>
      <c r="K143" s="84">
        <f t="shared" si="44"/>
        <v>4.4211776394430045</v>
      </c>
      <c r="L143" s="84">
        <f t="shared" si="45"/>
        <v>5.8213515065898758</v>
      </c>
      <c r="M143" s="84">
        <f t="shared" si="46"/>
        <v>7.4908486890106651</v>
      </c>
      <c r="N143" s="84">
        <f t="shared" si="47"/>
        <v>7.7772792896285141</v>
      </c>
      <c r="O143" s="84">
        <f t="shared" si="48"/>
        <v>9.0169442848937393</v>
      </c>
      <c r="P143" s="84">
        <f t="shared" si="49"/>
        <v>8.5188614806650413</v>
      </c>
      <c r="Q143" s="84">
        <f t="shared" si="50"/>
        <v>11.237561513265131</v>
      </c>
    </row>
    <row r="144" spans="1:17" ht="15" customHeight="1">
      <c r="A144" s="70"/>
      <c r="B144" s="33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 spans="1:17" ht="15" customHeight="1">
      <c r="A145" s="70" t="s">
        <v>175</v>
      </c>
      <c r="B145" s="33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 spans="1:17" ht="15" customHeight="1">
      <c r="A146" s="67" t="s">
        <v>176</v>
      </c>
      <c r="B146" s="33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 spans="1:17" ht="15" customHeight="1">
      <c r="A147" s="67" t="s">
        <v>133</v>
      </c>
      <c r="B147" s="33">
        <f t="shared" si="35"/>
        <v>1</v>
      </c>
      <c r="C147" s="34">
        <f t="shared" si="36"/>
        <v>0.93796587642815399</v>
      </c>
      <c r="D147" s="34">
        <f t="shared" si="37"/>
        <v>0.88377809269890073</v>
      </c>
      <c r="E147" s="34">
        <f t="shared" si="38"/>
        <v>0.89845395079224011</v>
      </c>
      <c r="F147" s="34">
        <f t="shared" si="39"/>
        <v>0.54451196566825999</v>
      </c>
      <c r="G147" s="34">
        <f t="shared" si="40"/>
        <v>2.8149945155685794</v>
      </c>
      <c r="H147" s="34">
        <f t="shared" si="41"/>
        <v>2.827668756355135</v>
      </c>
      <c r="I147" s="34">
        <f t="shared" si="42"/>
        <v>2.6769950119696717</v>
      </c>
      <c r="J147" s="34">
        <f t="shared" si="43"/>
        <v>2.4998118479731621</v>
      </c>
      <c r="K147" s="34">
        <f t="shared" si="44"/>
        <v>2.3016117022554226</v>
      </c>
      <c r="L147" s="34">
        <f t="shared" si="45"/>
        <v>2.1171986965468097</v>
      </c>
      <c r="M147" s="34">
        <f t="shared" si="46"/>
        <v>1.9475656330314894</v>
      </c>
      <c r="N147" s="34">
        <f t="shared" si="47"/>
        <v>1.7918478130329305</v>
      </c>
      <c r="O147" s="34">
        <f t="shared" si="48"/>
        <v>1.6353293461116583</v>
      </c>
      <c r="P147" s="34">
        <f t="shared" si="49"/>
        <v>1.4332220434110761</v>
      </c>
      <c r="Q147" s="34">
        <f t="shared" si="50"/>
        <v>1.2809630181186398</v>
      </c>
    </row>
    <row r="148" spans="1:17" ht="15" customHeight="1">
      <c r="A148" s="67" t="s">
        <v>177</v>
      </c>
      <c r="B148" s="33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 spans="1:17" ht="15" customHeight="1">
      <c r="A149" s="67" t="s">
        <v>178</v>
      </c>
      <c r="B149" s="33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 spans="1:17" ht="15" customHeight="1">
      <c r="A150" s="67" t="s">
        <v>179</v>
      </c>
      <c r="B150" s="33">
        <f t="shared" si="35"/>
        <v>1</v>
      </c>
      <c r="C150" s="34">
        <f t="shared" si="36"/>
        <v>0.93796587642815399</v>
      </c>
      <c r="D150" s="34">
        <f t="shared" si="37"/>
        <v>0.88377809269890073</v>
      </c>
      <c r="E150" s="34">
        <f t="shared" si="38"/>
        <v>0.89845395079224011</v>
      </c>
      <c r="F150" s="34">
        <f t="shared" si="39"/>
        <v>0.54451196566825999</v>
      </c>
      <c r="G150" s="34">
        <f t="shared" si="40"/>
        <v>2.8149945155685794</v>
      </c>
      <c r="H150" s="34">
        <f t="shared" si="41"/>
        <v>2.827668756355135</v>
      </c>
      <c r="I150" s="34">
        <f t="shared" si="42"/>
        <v>2.6857620957733848</v>
      </c>
      <c r="J150" s="34">
        <f t="shared" si="43"/>
        <v>2.5207968038174844</v>
      </c>
      <c r="K150" s="34">
        <f t="shared" si="44"/>
        <v>2.3016117022554226</v>
      </c>
      <c r="L150" s="34">
        <f t="shared" si="45"/>
        <v>2.3368321603855917</v>
      </c>
      <c r="M150" s="34">
        <f t="shared" si="46"/>
        <v>2.1838205269858046</v>
      </c>
      <c r="N150" s="34">
        <f t="shared" si="47"/>
        <v>2.1304093707715834</v>
      </c>
      <c r="O150" s="34">
        <f t="shared" si="48"/>
        <v>2.3706274669933305</v>
      </c>
      <c r="P150" s="34">
        <f t="shared" si="49"/>
        <v>5.3151106093723728</v>
      </c>
      <c r="Q150" s="34">
        <f t="shared" si="50"/>
        <v>2.2983130369338425</v>
      </c>
    </row>
    <row r="151" spans="1:17" ht="15" customHeight="1">
      <c r="A151" s="77" t="s">
        <v>180</v>
      </c>
      <c r="B151" s="87">
        <f t="shared" si="35"/>
        <v>1</v>
      </c>
      <c r="C151" s="84">
        <f t="shared" si="36"/>
        <v>1.5104105496722933</v>
      </c>
      <c r="D151" s="84">
        <f t="shared" si="37"/>
        <v>1.5722353812866281</v>
      </c>
      <c r="E151" s="84">
        <f t="shared" si="38"/>
        <v>1.6877189801878352</v>
      </c>
      <c r="F151" s="84">
        <f t="shared" si="39"/>
        <v>1.6699640961167841</v>
      </c>
      <c r="G151" s="84">
        <f t="shared" si="40"/>
        <v>3.0026326886924446</v>
      </c>
      <c r="H151" s="84">
        <f t="shared" si="41"/>
        <v>3.2465702135709584</v>
      </c>
      <c r="I151" s="84">
        <f t="shared" si="42"/>
        <v>3.5304828303768132</v>
      </c>
      <c r="J151" s="84">
        <f t="shared" si="43"/>
        <v>3.6100546637607249</v>
      </c>
      <c r="K151" s="84">
        <f t="shared" si="44"/>
        <v>3.377830238873146</v>
      </c>
      <c r="L151" s="84">
        <f t="shared" si="45"/>
        <v>4.106111542448164</v>
      </c>
      <c r="M151" s="84">
        <f t="shared" si="46"/>
        <v>4.8784864404708888</v>
      </c>
      <c r="N151" s="84">
        <f t="shared" si="47"/>
        <v>4.9976313684069478</v>
      </c>
      <c r="O151" s="84">
        <f t="shared" si="48"/>
        <v>5.745322839362637</v>
      </c>
      <c r="P151" s="84">
        <f t="shared" si="49"/>
        <v>6.941828615119042</v>
      </c>
      <c r="Q151" s="84">
        <f t="shared" si="50"/>
        <v>6.8372541214583835</v>
      </c>
    </row>
    <row r="152" spans="1:17" ht="15" customHeight="1">
      <c r="A152" s="67"/>
      <c r="B152" s="33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 spans="1:17" ht="30" customHeight="1">
      <c r="A153" s="70" t="s">
        <v>181</v>
      </c>
      <c r="B153" s="33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 spans="1:17" ht="15" customHeight="1">
      <c r="A154" s="67" t="s">
        <v>182</v>
      </c>
      <c r="B154" s="33">
        <f t="shared" si="35"/>
        <v>1</v>
      </c>
      <c r="C154" s="34">
        <f t="shared" si="36"/>
        <v>2.0121457489878543</v>
      </c>
      <c r="D154" s="34">
        <f t="shared" si="37"/>
        <v>2.0627530364372468</v>
      </c>
      <c r="E154" s="34">
        <f t="shared" si="38"/>
        <v>2.0850202429149798</v>
      </c>
      <c r="F154" s="34">
        <f t="shared" si="39"/>
        <v>2.0951417004048585</v>
      </c>
      <c r="G154" s="34">
        <f t="shared" si="40"/>
        <v>6.2854251012145745</v>
      </c>
      <c r="H154" s="34">
        <f t="shared" si="41"/>
        <v>6.3076923076923075</v>
      </c>
      <c r="I154" s="34">
        <f t="shared" si="42"/>
        <v>6.3684210526315788</v>
      </c>
      <c r="J154" s="34">
        <f t="shared" si="43"/>
        <v>6.3866396761133606</v>
      </c>
      <c r="K154" s="34">
        <f t="shared" si="44"/>
        <v>6.4412955465587043</v>
      </c>
      <c r="L154" s="34">
        <f t="shared" si="45"/>
        <v>6.4635627530364372</v>
      </c>
      <c r="M154" s="34">
        <f t="shared" si="46"/>
        <v>6.4777327935222671</v>
      </c>
      <c r="N154" s="34">
        <f t="shared" si="47"/>
        <v>12.991902834008098</v>
      </c>
      <c r="O154" s="34">
        <f t="shared" si="48"/>
        <v>11.362348178137651</v>
      </c>
      <c r="P154" s="34">
        <f t="shared" si="49"/>
        <v>11.40080971659919</v>
      </c>
      <c r="Q154" s="34">
        <f t="shared" si="50"/>
        <v>11.467611336032389</v>
      </c>
    </row>
    <row r="155" spans="1:17" ht="15" customHeight="1">
      <c r="A155" s="67" t="s">
        <v>136</v>
      </c>
      <c r="B155" s="33">
        <f t="shared" si="35"/>
        <v>1</v>
      </c>
      <c r="C155" s="34">
        <f t="shared" si="36"/>
        <v>1.2259463216424293</v>
      </c>
      <c r="D155" s="34">
        <f t="shared" si="37"/>
        <v>1.5395263045337895</v>
      </c>
      <c r="E155" s="34">
        <f t="shared" si="38"/>
        <v>1.9678624893071002</v>
      </c>
      <c r="F155" s="34">
        <f t="shared" si="39"/>
        <v>2.2783629170230966</v>
      </c>
      <c r="G155" s="34">
        <f t="shared" si="40"/>
        <v>21.331196535500428</v>
      </c>
      <c r="H155" s="34">
        <f t="shared" si="41"/>
        <v>21.659778656971771</v>
      </c>
      <c r="I155" s="34">
        <f t="shared" si="42"/>
        <v>22.191124893071002</v>
      </c>
      <c r="J155" s="34">
        <f t="shared" si="43"/>
        <v>22.659163815226691</v>
      </c>
      <c r="K155" s="34">
        <f t="shared" si="44"/>
        <v>23.51107249786142</v>
      </c>
      <c r="L155" s="34">
        <f t="shared" si="45"/>
        <v>24.262093669803249</v>
      </c>
      <c r="M155" s="34">
        <f t="shared" si="46"/>
        <v>24.875</v>
      </c>
      <c r="N155" s="34">
        <f t="shared" si="47"/>
        <v>25.53894354148845</v>
      </c>
      <c r="O155" s="34">
        <f t="shared" si="48"/>
        <v>26.599203378956371</v>
      </c>
      <c r="P155" s="34">
        <f t="shared" si="49"/>
        <v>27.507068006843458</v>
      </c>
      <c r="Q155" s="34">
        <f t="shared" si="50"/>
        <v>29.035751710863988</v>
      </c>
    </row>
    <row r="156" spans="1:17" ht="15" customHeight="1">
      <c r="A156" s="67" t="s">
        <v>183</v>
      </c>
      <c r="B156" s="33">
        <f t="shared" si="35"/>
        <v>1</v>
      </c>
      <c r="C156" s="34">
        <f t="shared" si="36"/>
        <v>1.3243550443380456</v>
      </c>
      <c r="D156" s="34">
        <f t="shared" si="37"/>
        <v>1.7096795761679462</v>
      </c>
      <c r="E156" s="34">
        <f t="shared" si="38"/>
        <v>2.0934640337705752</v>
      </c>
      <c r="F156" s="34">
        <f t="shared" si="39"/>
        <v>2.6410289826330851</v>
      </c>
      <c r="G156" s="34">
        <f t="shared" si="40"/>
        <v>1.5807156415559396</v>
      </c>
      <c r="H156" s="34">
        <f t="shared" si="41"/>
        <v>2.3883593506530301</v>
      </c>
      <c r="I156" s="34">
        <f t="shared" si="42"/>
        <v>3.3183851318808966</v>
      </c>
      <c r="J156" s="34">
        <f t="shared" si="43"/>
        <v>4.4362353741111145</v>
      </c>
      <c r="K156" s="34">
        <f t="shared" si="44"/>
        <v>5.6916791795336712</v>
      </c>
      <c r="L156" s="34">
        <f t="shared" si="45"/>
        <v>7.2890885910983938</v>
      </c>
      <c r="M156" s="34">
        <f t="shared" si="46"/>
        <v>8.8500994418789141</v>
      </c>
      <c r="N156" s="34">
        <f t="shared" si="47"/>
        <v>10.200496359463978</v>
      </c>
      <c r="O156" s="34">
        <f t="shared" si="48"/>
        <v>6.7311510893277049</v>
      </c>
      <c r="P156" s="34">
        <f t="shared" si="49"/>
        <v>8.4412658299572207</v>
      </c>
      <c r="Q156" s="34">
        <f t="shared" si="50"/>
        <v>10.600579086041307</v>
      </c>
    </row>
    <row r="157" spans="1:17" ht="30" customHeight="1">
      <c r="A157" s="67" t="s">
        <v>184</v>
      </c>
      <c r="B157" s="33">
        <f t="shared" si="35"/>
        <v>1</v>
      </c>
      <c r="C157" s="34">
        <f>-C76/B76</f>
        <v>5.5053380782918149</v>
      </c>
      <c r="D157" s="34">
        <f t="shared" si="37"/>
        <v>7.3807829181494666</v>
      </c>
      <c r="E157" s="34">
        <f>-E76/B76</f>
        <v>4.3879003558718859</v>
      </c>
      <c r="F157" s="34">
        <f>-F76/B76</f>
        <v>40.758007117437721</v>
      </c>
      <c r="G157" s="34">
        <f>-G76/B76</f>
        <v>77.857651245551608</v>
      </c>
      <c r="H157" s="34">
        <f>-H76/B76</f>
        <v>82.736654804270458</v>
      </c>
      <c r="I157" s="34">
        <f>-I76/B76</f>
        <v>59.284697508896798</v>
      </c>
      <c r="J157" s="34">
        <f>-J76/B76</f>
        <v>116.95373665480427</v>
      </c>
      <c r="K157" s="34">
        <f>-K76/B76</f>
        <v>115.25622775800711</v>
      </c>
      <c r="L157" s="34">
        <f t="shared" si="45"/>
        <v>10.797153024911031</v>
      </c>
      <c r="M157" s="34">
        <f>-M76/B76</f>
        <v>246.13879003558719</v>
      </c>
      <c r="N157" s="34">
        <f>-N76/B76</f>
        <v>566.09608540925262</v>
      </c>
      <c r="O157" s="34">
        <f>-O76/B76</f>
        <v>446.03914590747331</v>
      </c>
      <c r="P157" s="34">
        <f>-P76/B76</f>
        <v>959.02846975088971</v>
      </c>
      <c r="Q157" s="34">
        <f>-Q76/B76</f>
        <v>216.51601423487546</v>
      </c>
    </row>
    <row r="158" spans="1:17" ht="15" customHeight="1">
      <c r="A158" s="67" t="s">
        <v>185</v>
      </c>
      <c r="B158" s="33">
        <f t="shared" si="35"/>
        <v>1</v>
      </c>
      <c r="C158" s="34">
        <f t="shared" si="36"/>
        <v>1.7293687614227471</v>
      </c>
      <c r="D158" s="34">
        <f t="shared" si="37"/>
        <v>4.7771396200825329</v>
      </c>
      <c r="E158" s="34">
        <f t="shared" si="38"/>
        <v>5.0566568255307187</v>
      </c>
      <c r="F158" s="34">
        <f t="shared" si="39"/>
        <v>5.090459887033683</v>
      </c>
      <c r="G158" s="34">
        <f t="shared" si="40"/>
        <v>2.3009526881186892</v>
      </c>
      <c r="H158" s="34">
        <f t="shared" si="41"/>
        <v>11.614818765971171</v>
      </c>
      <c r="I158" s="34">
        <f t="shared" si="42"/>
        <v>13.108264900224114</v>
      </c>
      <c r="J158" s="34">
        <f t="shared" si="43"/>
        <v>18.657656651863615</v>
      </c>
      <c r="K158" s="34">
        <f t="shared" si="44"/>
        <v>21.582293398169053</v>
      </c>
      <c r="L158" s="34">
        <f t="shared" si="45"/>
        <v>24.046373251957888</v>
      </c>
      <c r="M158" s="34">
        <f t="shared" si="46"/>
        <v>24.103559348665659</v>
      </c>
      <c r="N158" s="34">
        <f t="shared" si="47"/>
        <v>27.291706982244605</v>
      </c>
      <c r="O158" s="34">
        <f t="shared" si="48"/>
        <v>10.611816806013843</v>
      </c>
      <c r="P158" s="34">
        <f t="shared" si="49"/>
        <v>26.348330728326758</v>
      </c>
      <c r="Q158" s="34">
        <f t="shared" si="50"/>
        <v>26.776899794080432</v>
      </c>
    </row>
    <row r="159" spans="1:17" ht="15" customHeight="1">
      <c r="A159" s="69" t="s">
        <v>186</v>
      </c>
      <c r="B159" s="90">
        <f t="shared" si="35"/>
        <v>1</v>
      </c>
      <c r="C159" s="85">
        <f t="shared" si="36"/>
        <v>1.1819898164891756</v>
      </c>
      <c r="D159" s="85">
        <f t="shared" si="37"/>
        <v>0.77788333627072981</v>
      </c>
      <c r="E159" s="85">
        <f t="shared" si="38"/>
        <v>1.1978288214119299</v>
      </c>
      <c r="F159" s="85">
        <f t="shared" si="39"/>
        <v>1.8290121415068603</v>
      </c>
      <c r="G159" s="85">
        <f t="shared" si="40"/>
        <v>5.8056755327753082</v>
      </c>
      <c r="H159" s="85">
        <f t="shared" si="41"/>
        <v>4.0194556239875032</v>
      </c>
      <c r="I159" s="85">
        <f t="shared" si="42"/>
        <v>4.7021021296526548</v>
      </c>
      <c r="J159" s="85">
        <f t="shared" si="43"/>
        <v>4.3588963276106414</v>
      </c>
      <c r="K159" s="85">
        <f t="shared" si="44"/>
        <v>5.0353586078189467</v>
      </c>
      <c r="L159" s="85">
        <f t="shared" si="45"/>
        <v>6.2299281263354089</v>
      </c>
      <c r="M159" s="85">
        <f t="shared" si="46"/>
        <v>7.9272897809989882</v>
      </c>
      <c r="N159" s="85">
        <f t="shared" si="47"/>
        <v>8.4802727674378744</v>
      </c>
      <c r="O159" s="85">
        <f t="shared" si="48"/>
        <v>9.9333219056540454</v>
      </c>
      <c r="P159" s="85">
        <f t="shared" si="49"/>
        <v>7.1918546399194589</v>
      </c>
      <c r="Q159" s="85">
        <f t="shared" si="50"/>
        <v>9.9639400384839174</v>
      </c>
    </row>
    <row r="160" spans="1:17" ht="15" customHeight="1">
      <c r="A160" s="69" t="s">
        <v>187</v>
      </c>
      <c r="B160" s="33">
        <f t="shared" si="35"/>
        <v>1</v>
      </c>
      <c r="C160" s="34">
        <f t="shared" si="36"/>
        <v>1.258996369201141</v>
      </c>
      <c r="D160" s="34">
        <f t="shared" si="37"/>
        <v>0.96413927703762303</v>
      </c>
      <c r="E160" s="34">
        <f t="shared" si="38"/>
        <v>1.3126959674937693</v>
      </c>
      <c r="F160" s="34">
        <f t="shared" si="39"/>
        <v>1.7917193020068736</v>
      </c>
      <c r="G160" s="34">
        <f t="shared" si="40"/>
        <v>5.1484311973319308</v>
      </c>
      <c r="H160" s="34">
        <f t="shared" si="41"/>
        <v>3.8382330789895125</v>
      </c>
      <c r="I160" s="34">
        <f t="shared" si="42"/>
        <v>4.4273863330779726</v>
      </c>
      <c r="J160" s="34">
        <f t="shared" si="43"/>
        <v>4.1833114475049697</v>
      </c>
      <c r="K160" s="34">
        <f t="shared" si="44"/>
        <v>4.6467091322584793</v>
      </c>
      <c r="L160" s="34">
        <f t="shared" si="45"/>
        <v>5.7319455777535255</v>
      </c>
      <c r="M160" s="34">
        <f t="shared" si="46"/>
        <v>7.2124206773486756</v>
      </c>
      <c r="N160" s="34">
        <f t="shared" si="47"/>
        <v>7.6636793512060928</v>
      </c>
      <c r="O160" s="34">
        <f t="shared" si="48"/>
        <v>8.9513395328292038</v>
      </c>
      <c r="P160" s="34">
        <f t="shared" si="49"/>
        <v>7.1332297106357734</v>
      </c>
      <c r="Q160" s="34">
        <f t="shared" si="50"/>
        <v>9.2308093936870854</v>
      </c>
    </row>
    <row r="176" ht="30" customHeight="1"/>
    <row r="177" ht="30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C32B-0C8E-4E58-9994-D7CFBDC135B3}">
  <dimension ref="A1:V118"/>
  <sheetViews>
    <sheetView tabSelected="1" topLeftCell="B82" zoomScale="70" zoomScaleNormal="70" workbookViewId="0">
      <selection activeCell="M104" sqref="M104"/>
    </sheetView>
  </sheetViews>
  <sheetFormatPr defaultRowHeight="14.4"/>
  <cols>
    <col min="1" max="1" width="25.6640625" customWidth="1"/>
    <col min="2" max="17" width="15" customWidth="1"/>
    <col min="18" max="18" width="35.6640625" customWidth="1"/>
    <col min="22" max="22" width="25.6640625" customWidth="1"/>
    <col min="23" max="25" width="14.6640625" customWidth="1"/>
  </cols>
  <sheetData>
    <row r="1" spans="1:17">
      <c r="A1" t="s">
        <v>2</v>
      </c>
      <c r="O1" s="3" t="s">
        <v>33</v>
      </c>
    </row>
    <row r="2" spans="1:17">
      <c r="A2" s="5" t="s">
        <v>30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 t="s">
        <v>16</v>
      </c>
    </row>
    <row r="3" spans="1:17">
      <c r="A3" t="s">
        <v>3</v>
      </c>
      <c r="O3" s="3" t="s">
        <v>17</v>
      </c>
    </row>
    <row r="4" spans="1:17">
      <c r="A4" t="s">
        <v>4</v>
      </c>
      <c r="O4" s="3" t="s">
        <v>13</v>
      </c>
    </row>
    <row r="5" spans="1:17">
      <c r="O5" s="3"/>
    </row>
    <row r="6" spans="1:17">
      <c r="O6" s="3"/>
    </row>
    <row r="7" spans="1:17">
      <c r="A7" s="47" t="s">
        <v>106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>
      <c r="A8" s="47" t="s">
        <v>107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</row>
    <row r="9" spans="1:17">
      <c r="A9" s="47" t="s">
        <v>32</v>
      </c>
      <c r="B9" s="47">
        <v>2010</v>
      </c>
      <c r="C9" s="47">
        <f>B9+1</f>
        <v>2011</v>
      </c>
      <c r="D9" s="47">
        <f t="shared" ref="D9:I9" si="0">C9+1</f>
        <v>2012</v>
      </c>
      <c r="E9" s="47">
        <f t="shared" si="0"/>
        <v>2013</v>
      </c>
      <c r="F9" s="47">
        <f t="shared" si="0"/>
        <v>2014</v>
      </c>
      <c r="G9" s="47">
        <f t="shared" si="0"/>
        <v>2015</v>
      </c>
      <c r="H9" s="47">
        <f t="shared" si="0"/>
        <v>2016</v>
      </c>
      <c r="I9" s="47">
        <f t="shared" si="0"/>
        <v>2017</v>
      </c>
      <c r="J9" s="47">
        <f>I9+1</f>
        <v>2018</v>
      </c>
      <c r="K9" s="47">
        <f t="shared" ref="K9:N9" si="1">J9+1</f>
        <v>2019</v>
      </c>
      <c r="L9" s="47">
        <f t="shared" si="1"/>
        <v>2020</v>
      </c>
      <c r="M9" s="47">
        <f t="shared" si="1"/>
        <v>2021</v>
      </c>
      <c r="N9" s="47">
        <f t="shared" si="1"/>
        <v>2022</v>
      </c>
      <c r="O9" s="48" t="s">
        <v>122</v>
      </c>
      <c r="P9" s="48" t="s">
        <v>123</v>
      </c>
      <c r="Q9" s="48" t="s">
        <v>108</v>
      </c>
    </row>
    <row r="10" spans="1:17">
      <c r="A10" s="67" t="s">
        <v>142</v>
      </c>
      <c r="B10" s="57">
        <v>1303942</v>
      </c>
      <c r="C10" s="57">
        <v>1703230</v>
      </c>
      <c r="D10" s="57">
        <v>2060702</v>
      </c>
      <c r="E10" s="57">
        <v>2246428</v>
      </c>
      <c r="F10" s="57">
        <v>2464867</v>
      </c>
      <c r="G10" s="57">
        <v>2722564</v>
      </c>
      <c r="H10" s="57">
        <v>3049393</v>
      </c>
      <c r="I10" s="57">
        <v>3369045</v>
      </c>
      <c r="J10" s="57">
        <v>3807183</v>
      </c>
      <c r="K10" s="57">
        <v>4200819</v>
      </c>
      <c r="L10" s="57">
        <v>4598638</v>
      </c>
      <c r="M10" s="57">
        <v>5541352</v>
      </c>
      <c r="N10" s="57">
        <v>6311050</v>
      </c>
      <c r="O10" s="57">
        <v>7140027</v>
      </c>
      <c r="P10" s="57">
        <v>7492709</v>
      </c>
      <c r="Q10" s="57">
        <v>8294343</v>
      </c>
    </row>
    <row r="11" spans="1:17">
      <c r="A11" s="67" t="s">
        <v>109</v>
      </c>
      <c r="B11" s="57">
        <v>623702</v>
      </c>
      <c r="C11" s="57">
        <v>808921</v>
      </c>
      <c r="D11" s="57">
        <v>995046</v>
      </c>
      <c r="E11" s="57">
        <v>1073497</v>
      </c>
      <c r="F11" s="57">
        <v>1125057</v>
      </c>
      <c r="G11" s="57">
        <v>1090263</v>
      </c>
      <c r="H11" s="57">
        <v>1107393</v>
      </c>
      <c r="I11" s="57">
        <v>1231355</v>
      </c>
      <c r="J11" s="57">
        <v>1511808</v>
      </c>
      <c r="K11" s="57">
        <v>1682234</v>
      </c>
      <c r="L11" s="57">
        <v>1874758</v>
      </c>
      <c r="M11" s="57">
        <v>2432839</v>
      </c>
      <c r="N11" s="57">
        <v>3136483</v>
      </c>
      <c r="O11" s="57">
        <v>3345821</v>
      </c>
      <c r="P11" s="57">
        <v>3443831</v>
      </c>
      <c r="Q11" s="57">
        <v>3662148</v>
      </c>
    </row>
    <row r="12" spans="1:17">
      <c r="A12" s="69" t="s">
        <v>143</v>
      </c>
      <c r="B12" s="58">
        <f t="shared" ref="B12:Q12" si="2">B10-B11</f>
        <v>680240</v>
      </c>
      <c r="C12" s="58">
        <f t="shared" si="2"/>
        <v>894309</v>
      </c>
      <c r="D12" s="58">
        <f t="shared" si="2"/>
        <v>1065656</v>
      </c>
      <c r="E12" s="58">
        <f t="shared" si="2"/>
        <v>1172931</v>
      </c>
      <c r="F12" s="58">
        <f t="shared" si="2"/>
        <v>1339810</v>
      </c>
      <c r="G12" s="58">
        <f t="shared" si="2"/>
        <v>1632301</v>
      </c>
      <c r="H12" s="58">
        <f t="shared" si="2"/>
        <v>1942000</v>
      </c>
      <c r="I12" s="58">
        <f t="shared" si="2"/>
        <v>2137690</v>
      </c>
      <c r="J12" s="58">
        <f t="shared" si="2"/>
        <v>2295375</v>
      </c>
      <c r="K12" s="58">
        <f t="shared" si="2"/>
        <v>2518585</v>
      </c>
      <c r="L12" s="58">
        <f t="shared" si="2"/>
        <v>2723880</v>
      </c>
      <c r="M12" s="58">
        <f t="shared" si="2"/>
        <v>3108513</v>
      </c>
      <c r="N12" s="58">
        <f t="shared" si="2"/>
        <v>3174567</v>
      </c>
      <c r="O12" s="58">
        <f t="shared" si="2"/>
        <v>3794206</v>
      </c>
      <c r="P12" s="58">
        <f t="shared" si="2"/>
        <v>4048878</v>
      </c>
      <c r="Q12" s="58">
        <f t="shared" si="2"/>
        <v>4632195</v>
      </c>
    </row>
    <row r="13" spans="1:17">
      <c r="A13" s="6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</row>
    <row r="14" spans="1:17">
      <c r="A14" s="67" t="s">
        <v>144</v>
      </c>
      <c r="B14" s="57">
        <v>0</v>
      </c>
      <c r="C14" s="57">
        <v>0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</row>
    <row r="15" spans="1:17">
      <c r="A15" s="67" t="s">
        <v>145</v>
      </c>
      <c r="B15" s="60">
        <v>47400</v>
      </c>
      <c r="C15" s="60">
        <v>60500</v>
      </c>
      <c r="D15" s="60">
        <v>76100</v>
      </c>
      <c r="E15" s="60">
        <v>84000</v>
      </c>
      <c r="F15" s="60">
        <v>92700</v>
      </c>
      <c r="G15" s="60">
        <v>87000</v>
      </c>
      <c r="H15" s="61">
        <v>83600</v>
      </c>
      <c r="I15" s="61">
        <v>91900</v>
      </c>
      <c r="J15" s="61">
        <v>128500</v>
      </c>
      <c r="K15" s="61">
        <v>122500</v>
      </c>
      <c r="L15" s="61">
        <v>134100</v>
      </c>
      <c r="M15" s="61">
        <v>213900</v>
      </c>
      <c r="N15" s="61">
        <v>249200</v>
      </c>
      <c r="O15" s="61">
        <v>223600</v>
      </c>
      <c r="P15" s="61">
        <v>224200</v>
      </c>
      <c r="Q15" s="61">
        <v>237000</v>
      </c>
    </row>
    <row r="16" spans="1:17">
      <c r="A16" s="67" t="s">
        <v>146</v>
      </c>
      <c r="B16" s="60">
        <v>104900</v>
      </c>
      <c r="C16" s="60">
        <v>148800</v>
      </c>
      <c r="D16" s="60">
        <v>165400</v>
      </c>
      <c r="E16" s="60">
        <v>181800</v>
      </c>
      <c r="F16" s="60">
        <v>171500</v>
      </c>
      <c r="G16" s="60">
        <v>209700</v>
      </c>
      <c r="H16" s="61">
        <v>270600</v>
      </c>
      <c r="I16" s="61">
        <v>324000</v>
      </c>
      <c r="J16" s="61">
        <v>353900</v>
      </c>
      <c r="K16" s="61">
        <v>391600</v>
      </c>
      <c r="L16" s="61">
        <v>345700</v>
      </c>
      <c r="M16" s="61">
        <v>417600</v>
      </c>
      <c r="N16" s="61">
        <v>460700</v>
      </c>
      <c r="O16" s="61">
        <v>528900</v>
      </c>
      <c r="P16" s="61">
        <v>584100</v>
      </c>
      <c r="Q16" s="61">
        <v>599900</v>
      </c>
    </row>
    <row r="17" spans="1:18">
      <c r="A17" s="67" t="s">
        <v>147</v>
      </c>
      <c r="B17" s="62">
        <v>180126</v>
      </c>
      <c r="C17" s="62">
        <v>228586</v>
      </c>
      <c r="D17" s="62">
        <v>273533</v>
      </c>
      <c r="E17" s="62">
        <v>334215</v>
      </c>
      <c r="F17" s="62">
        <v>328105</v>
      </c>
      <c r="G17" s="62">
        <v>603418</v>
      </c>
      <c r="H17" s="62">
        <v>502462</v>
      </c>
      <c r="I17" s="62">
        <v>523003</v>
      </c>
      <c r="J17" s="62">
        <v>529356</v>
      </c>
      <c r="K17" s="62">
        <v>601546</v>
      </c>
      <c r="L17" s="62">
        <v>610927</v>
      </c>
      <c r="M17" s="62">
        <v>679546</v>
      </c>
      <c r="N17" s="62">
        <v>879946</v>
      </c>
      <c r="O17" s="62">
        <v>1088351</v>
      </c>
      <c r="P17" s="62">
        <v>1310284</v>
      </c>
      <c r="Q17" s="62">
        <v>1375941</v>
      </c>
    </row>
    <row r="18" spans="1:18">
      <c r="A18" s="75" t="s">
        <v>148</v>
      </c>
      <c r="B18" s="63">
        <f t="shared" ref="B18:Q18" si="3">B17+B16+B15+B14</f>
        <v>332426</v>
      </c>
      <c r="C18" s="63">
        <f t="shared" si="3"/>
        <v>437886</v>
      </c>
      <c r="D18" s="63">
        <f t="shared" si="3"/>
        <v>515033</v>
      </c>
      <c r="E18" s="63">
        <f t="shared" si="3"/>
        <v>600015</v>
      </c>
      <c r="F18" s="63">
        <f t="shared" si="3"/>
        <v>592305</v>
      </c>
      <c r="G18" s="63">
        <f t="shared" si="3"/>
        <v>900118</v>
      </c>
      <c r="H18" s="63">
        <f t="shared" si="3"/>
        <v>856662</v>
      </c>
      <c r="I18" s="63">
        <f t="shared" si="3"/>
        <v>938903</v>
      </c>
      <c r="J18" s="63">
        <f t="shared" si="3"/>
        <v>1011756</v>
      </c>
      <c r="K18" s="63">
        <f t="shared" si="3"/>
        <v>1115646</v>
      </c>
      <c r="L18" s="63">
        <f t="shared" si="3"/>
        <v>1090727</v>
      </c>
      <c r="M18" s="63">
        <f t="shared" si="3"/>
        <v>1311046</v>
      </c>
      <c r="N18" s="63">
        <f t="shared" si="3"/>
        <v>1589846</v>
      </c>
      <c r="O18" s="63">
        <f t="shared" si="3"/>
        <v>1840851</v>
      </c>
      <c r="P18" s="63">
        <f t="shared" si="3"/>
        <v>2118584</v>
      </c>
      <c r="Q18" s="63">
        <f t="shared" si="3"/>
        <v>2212841</v>
      </c>
    </row>
    <row r="19" spans="1:18">
      <c r="A19" s="69" t="s">
        <v>149</v>
      </c>
      <c r="B19" s="58">
        <f t="shared" ref="B19:Q19" si="4">B12-B18</f>
        <v>347814</v>
      </c>
      <c r="C19" s="58">
        <f t="shared" si="4"/>
        <v>456423</v>
      </c>
      <c r="D19" s="58">
        <f t="shared" si="4"/>
        <v>550623</v>
      </c>
      <c r="E19" s="58">
        <f t="shared" si="4"/>
        <v>572916</v>
      </c>
      <c r="F19" s="58">
        <f t="shared" si="4"/>
        <v>747505</v>
      </c>
      <c r="G19" s="58">
        <f t="shared" si="4"/>
        <v>732183</v>
      </c>
      <c r="H19" s="58">
        <f t="shared" si="4"/>
        <v>1085338</v>
      </c>
      <c r="I19" s="58">
        <f t="shared" si="4"/>
        <v>1198787</v>
      </c>
      <c r="J19" s="58">
        <f t="shared" si="4"/>
        <v>1283619</v>
      </c>
      <c r="K19" s="58">
        <f t="shared" si="4"/>
        <v>1402939</v>
      </c>
      <c r="L19" s="58">
        <f t="shared" si="4"/>
        <v>1633153</v>
      </c>
      <c r="M19" s="58">
        <f t="shared" si="4"/>
        <v>1797467</v>
      </c>
      <c r="N19" s="58">
        <f t="shared" si="4"/>
        <v>1584721</v>
      </c>
      <c r="O19" s="58">
        <f t="shared" si="4"/>
        <v>1953355</v>
      </c>
      <c r="P19" s="58">
        <f t="shared" si="4"/>
        <v>1930294</v>
      </c>
      <c r="Q19" s="58">
        <f t="shared" si="4"/>
        <v>2419354</v>
      </c>
    </row>
    <row r="20" spans="1:18">
      <c r="A20" s="6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</row>
    <row r="21" spans="1:18">
      <c r="A21" s="67" t="s">
        <v>150</v>
      </c>
      <c r="B21" s="57">
        <v>0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57">
        <v>0</v>
      </c>
      <c r="Q21" s="57">
        <v>0</v>
      </c>
    </row>
    <row r="22" spans="1:18">
      <c r="A22" s="67" t="s">
        <v>151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57">
        <v>0</v>
      </c>
      <c r="O22" s="57">
        <v>0</v>
      </c>
      <c r="P22" s="57">
        <v>0</v>
      </c>
      <c r="Q22" s="57">
        <v>0</v>
      </c>
    </row>
    <row r="23" spans="1:18">
      <c r="A23" s="67" t="s">
        <v>152</v>
      </c>
      <c r="B23" s="57">
        <v>0</v>
      </c>
      <c r="C23" s="57">
        <v>0</v>
      </c>
      <c r="D23" s="57">
        <v>0</v>
      </c>
      <c r="E23" s="57">
        <v>0</v>
      </c>
      <c r="F23" s="57">
        <v>0</v>
      </c>
      <c r="G23" s="64">
        <v>-2105</v>
      </c>
      <c r="H23" s="64">
        <v>-5653</v>
      </c>
      <c r="I23" s="57">
        <v>2836</v>
      </c>
      <c r="J23" s="57">
        <v>9653</v>
      </c>
      <c r="K23" s="57">
        <v>13023</v>
      </c>
      <c r="L23" s="64">
        <v>-6996</v>
      </c>
      <c r="M23" s="57">
        <v>3952</v>
      </c>
      <c r="N23" s="64">
        <v>-12757</v>
      </c>
      <c r="O23" s="57">
        <v>115127</v>
      </c>
      <c r="P23" s="57">
        <v>59165</v>
      </c>
      <c r="Q23" s="57">
        <v>63175</v>
      </c>
    </row>
    <row r="24" spans="1:18">
      <c r="A24" s="69" t="s">
        <v>153</v>
      </c>
      <c r="B24" s="65">
        <f t="shared" ref="B24:Q24" si="5">B19-B22+B21-B23</f>
        <v>347814</v>
      </c>
      <c r="C24" s="65">
        <f t="shared" si="5"/>
        <v>456423</v>
      </c>
      <c r="D24" s="65">
        <f t="shared" si="5"/>
        <v>550623</v>
      </c>
      <c r="E24" s="65">
        <f t="shared" si="5"/>
        <v>572916</v>
      </c>
      <c r="F24" s="65">
        <f t="shared" si="5"/>
        <v>747505</v>
      </c>
      <c r="G24" s="65">
        <f t="shared" si="5"/>
        <v>734288</v>
      </c>
      <c r="H24" s="65">
        <f t="shared" si="5"/>
        <v>1090991</v>
      </c>
      <c r="I24" s="65">
        <f t="shared" si="5"/>
        <v>1195951</v>
      </c>
      <c r="J24" s="65">
        <f t="shared" si="5"/>
        <v>1273966</v>
      </c>
      <c r="K24" s="65">
        <f t="shared" si="5"/>
        <v>1389916</v>
      </c>
      <c r="L24" s="65">
        <f t="shared" si="5"/>
        <v>1640149</v>
      </c>
      <c r="M24" s="65">
        <f t="shared" si="5"/>
        <v>1793515</v>
      </c>
      <c r="N24" s="65">
        <f t="shared" si="5"/>
        <v>1597478</v>
      </c>
      <c r="O24" s="65">
        <f t="shared" si="5"/>
        <v>1838228</v>
      </c>
      <c r="P24" s="65">
        <f t="shared" si="5"/>
        <v>1871129</v>
      </c>
      <c r="Q24" s="65">
        <f t="shared" si="5"/>
        <v>2356179</v>
      </c>
    </row>
    <row r="25" spans="1:18">
      <c r="A25" s="6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</row>
    <row r="26" spans="1:18">
      <c r="A26" s="67" t="s">
        <v>154</v>
      </c>
      <c r="B26" s="57">
        <v>137273</v>
      </c>
      <c r="C26" s="57">
        <v>171051</v>
      </c>
      <c r="D26" s="57">
        <v>209134</v>
      </c>
      <c r="E26" s="57">
        <v>225233</v>
      </c>
      <c r="F26" s="57">
        <v>262603</v>
      </c>
      <c r="G26" s="57">
        <v>344815</v>
      </c>
      <c r="H26" s="57">
        <v>367000</v>
      </c>
      <c r="I26" s="57">
        <v>380945</v>
      </c>
      <c r="J26" s="57">
        <v>300268</v>
      </c>
      <c r="K26" s="57">
        <v>308127</v>
      </c>
      <c r="L26" s="57">
        <v>216563</v>
      </c>
      <c r="M26" s="57">
        <v>423944</v>
      </c>
      <c r="N26" s="57">
        <v>380340</v>
      </c>
      <c r="O26" s="57">
        <v>437494</v>
      </c>
      <c r="P26" s="57">
        <v>480411</v>
      </c>
      <c r="Q26" s="57">
        <v>577097</v>
      </c>
    </row>
    <row r="27" spans="1:18">
      <c r="A27" s="69" t="s">
        <v>155</v>
      </c>
      <c r="B27" s="58">
        <f t="shared" ref="B27:Q27" si="6">B24-B26</f>
        <v>210541</v>
      </c>
      <c r="C27" s="58">
        <f t="shared" si="6"/>
        <v>285372</v>
      </c>
      <c r="D27" s="58">
        <f t="shared" si="6"/>
        <v>341489</v>
      </c>
      <c r="E27" s="58">
        <f t="shared" si="6"/>
        <v>347683</v>
      </c>
      <c r="F27" s="58">
        <f t="shared" si="6"/>
        <v>484902</v>
      </c>
      <c r="G27" s="58">
        <f t="shared" si="6"/>
        <v>389473</v>
      </c>
      <c r="H27" s="58">
        <f t="shared" si="6"/>
        <v>723991</v>
      </c>
      <c r="I27" s="58">
        <f t="shared" si="6"/>
        <v>815006</v>
      </c>
      <c r="J27" s="58">
        <f t="shared" si="6"/>
        <v>973698</v>
      </c>
      <c r="K27" s="58">
        <f t="shared" si="6"/>
        <v>1081789</v>
      </c>
      <c r="L27" s="58">
        <f t="shared" si="6"/>
        <v>1423586</v>
      </c>
      <c r="M27" s="58">
        <f t="shared" si="6"/>
        <v>1369571</v>
      </c>
      <c r="N27" s="58">
        <f t="shared" si="6"/>
        <v>1217138</v>
      </c>
      <c r="O27" s="58">
        <f t="shared" si="6"/>
        <v>1400734</v>
      </c>
      <c r="P27" s="58">
        <f t="shared" si="6"/>
        <v>1390718</v>
      </c>
      <c r="Q27" s="58">
        <f t="shared" si="6"/>
        <v>1779082</v>
      </c>
    </row>
    <row r="28" spans="1:1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9"/>
      <c r="P29" s="49"/>
      <c r="Q29" s="49"/>
    </row>
    <row r="30" spans="1:1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9"/>
      <c r="P30" s="49"/>
      <c r="Q30" s="49"/>
    </row>
    <row r="31" spans="1:18">
      <c r="A31" s="47" t="s">
        <v>106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</row>
    <row r="32" spans="1:18">
      <c r="A32" s="47" t="s">
        <v>137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</row>
    <row r="33" spans="1:17">
      <c r="A33" s="47"/>
      <c r="B33" s="47">
        <v>2010</v>
      </c>
      <c r="C33" s="47">
        <f>B33+1</f>
        <v>2011</v>
      </c>
      <c r="D33" s="47">
        <f t="shared" ref="D33:I33" si="7">C33+1</f>
        <v>2012</v>
      </c>
      <c r="E33" s="47">
        <f t="shared" si="7"/>
        <v>2013</v>
      </c>
      <c r="F33" s="47">
        <f t="shared" si="7"/>
        <v>2014</v>
      </c>
      <c r="G33" s="47">
        <f t="shared" si="7"/>
        <v>2015</v>
      </c>
      <c r="H33" s="47">
        <f t="shared" si="7"/>
        <v>2016</v>
      </c>
      <c r="I33" s="47">
        <f t="shared" si="7"/>
        <v>2017</v>
      </c>
      <c r="J33" s="47">
        <f>I33+1</f>
        <v>2018</v>
      </c>
      <c r="K33" s="47">
        <f t="shared" ref="K33:N33" si="8">J33+1</f>
        <v>2019</v>
      </c>
      <c r="L33" s="47">
        <f t="shared" si="8"/>
        <v>2020</v>
      </c>
      <c r="M33" s="47">
        <f t="shared" si="8"/>
        <v>2021</v>
      </c>
      <c r="N33" s="47">
        <f t="shared" si="8"/>
        <v>2022</v>
      </c>
      <c r="O33" s="47">
        <v>2023</v>
      </c>
      <c r="P33" s="47">
        <f>O33+1</f>
        <v>2024</v>
      </c>
      <c r="Q33" s="47">
        <f t="shared" ref="Q33" si="9">P33+1</f>
        <v>2025</v>
      </c>
    </row>
    <row r="34" spans="1:17">
      <c r="A34" s="70" t="s">
        <v>189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7">
      <c r="A35" s="67" t="s">
        <v>124</v>
      </c>
      <c r="B35" s="57">
        <v>354842</v>
      </c>
      <c r="C35" s="57">
        <v>359331</v>
      </c>
      <c r="D35" s="57">
        <v>222514</v>
      </c>
      <c r="E35" s="57">
        <v>211349</v>
      </c>
      <c r="F35" s="57">
        <v>370323</v>
      </c>
      <c r="G35" s="57">
        <v>2175417</v>
      </c>
      <c r="H35" s="57">
        <v>377582</v>
      </c>
      <c r="I35" s="57">
        <v>528622</v>
      </c>
      <c r="J35" s="57">
        <v>637513</v>
      </c>
      <c r="K35" s="57">
        <v>797957</v>
      </c>
      <c r="L35" s="57">
        <v>1180413</v>
      </c>
      <c r="M35" s="57">
        <v>1326462</v>
      </c>
      <c r="N35" s="57">
        <v>1307141</v>
      </c>
      <c r="O35" s="57">
        <v>2297675</v>
      </c>
      <c r="P35" s="57">
        <v>1533287</v>
      </c>
      <c r="Q35" s="57">
        <v>2088117</v>
      </c>
    </row>
    <row r="36" spans="1:17">
      <c r="A36" s="67" t="s">
        <v>125</v>
      </c>
      <c r="B36" s="57">
        <v>244649</v>
      </c>
      <c r="C36" s="57">
        <v>411282</v>
      </c>
      <c r="D36" s="57">
        <v>97042</v>
      </c>
      <c r="E36" s="57">
        <v>402247</v>
      </c>
      <c r="F36" s="57">
        <v>781134</v>
      </c>
      <c r="G36" s="57">
        <v>744610</v>
      </c>
      <c r="H36" s="57">
        <v>220554</v>
      </c>
      <c r="I36" s="57">
        <v>672933</v>
      </c>
      <c r="J36" s="57">
        <v>320650</v>
      </c>
      <c r="K36" s="57">
        <v>533063</v>
      </c>
      <c r="L36" s="57">
        <v>881354</v>
      </c>
      <c r="M36" s="57">
        <v>1749727</v>
      </c>
      <c r="N36" s="57">
        <v>1362314</v>
      </c>
      <c r="O36" s="57">
        <v>955605</v>
      </c>
      <c r="P36" s="57">
        <v>0</v>
      </c>
      <c r="Q36" s="57">
        <v>677084</v>
      </c>
    </row>
    <row r="37" spans="1:17">
      <c r="A37" s="67" t="s">
        <v>126</v>
      </c>
      <c r="B37" s="57">
        <v>101635</v>
      </c>
      <c r="C37" s="57">
        <v>218741</v>
      </c>
      <c r="D37" s="57">
        <v>236710</v>
      </c>
      <c r="E37" s="57">
        <f>291638+4542</f>
        <v>296180</v>
      </c>
      <c r="F37" s="57">
        <f>280203+552</f>
        <v>280755</v>
      </c>
      <c r="G37" s="57">
        <f>352955+125000</f>
        <v>477955</v>
      </c>
      <c r="H37" s="57">
        <f>448051+125000</f>
        <v>573051</v>
      </c>
      <c r="I37" s="57">
        <v>449476</v>
      </c>
      <c r="J37" s="57">
        <v>484562</v>
      </c>
      <c r="K37" s="57">
        <v>540330</v>
      </c>
      <c r="L37" s="57">
        <v>666012</v>
      </c>
      <c r="M37" s="57">
        <v>896658</v>
      </c>
      <c r="N37" s="57">
        <v>1016203</v>
      </c>
      <c r="O37" s="57">
        <v>1193964</v>
      </c>
      <c r="P37" s="57">
        <v>1221646</v>
      </c>
      <c r="Q37" s="57">
        <v>1618072</v>
      </c>
    </row>
    <row r="38" spans="1:17">
      <c r="A38" s="67" t="s">
        <v>127</v>
      </c>
      <c r="B38" s="57">
        <v>153241</v>
      </c>
      <c r="C38" s="57">
        <v>155613</v>
      </c>
      <c r="D38" s="57">
        <v>203106</v>
      </c>
      <c r="E38" s="57">
        <v>221449</v>
      </c>
      <c r="F38" s="57">
        <v>174573</v>
      </c>
      <c r="G38" s="57">
        <v>156121</v>
      </c>
      <c r="H38" s="57">
        <v>161971</v>
      </c>
      <c r="I38" s="57">
        <v>255745</v>
      </c>
      <c r="J38" s="57">
        <v>277705</v>
      </c>
      <c r="K38" s="57">
        <v>360731</v>
      </c>
      <c r="L38" s="57">
        <v>333085</v>
      </c>
      <c r="M38" s="57">
        <v>593357</v>
      </c>
      <c r="N38" s="57">
        <v>935631</v>
      </c>
      <c r="O38" s="57">
        <v>971406</v>
      </c>
      <c r="P38" s="57">
        <v>737107</v>
      </c>
      <c r="Q38" s="57">
        <v>799623</v>
      </c>
    </row>
    <row r="39" spans="1:17">
      <c r="A39" s="67" t="s">
        <v>128</v>
      </c>
      <c r="B39" s="57">
        <v>17022</v>
      </c>
      <c r="C39" s="57">
        <v>20912</v>
      </c>
      <c r="D39" s="57">
        <v>24983</v>
      </c>
      <c r="E39" s="57">
        <v>21376</v>
      </c>
      <c r="F39" s="57">
        <v>19673</v>
      </c>
      <c r="G39" s="57">
        <v>26967</v>
      </c>
      <c r="H39" s="57">
        <v>32562</v>
      </c>
      <c r="I39" s="57">
        <v>40877</v>
      </c>
      <c r="J39" s="57">
        <v>44909</v>
      </c>
      <c r="K39" s="57">
        <v>54868</v>
      </c>
      <c r="L39" s="57">
        <v>55358</v>
      </c>
      <c r="M39" s="57">
        <v>82668</v>
      </c>
      <c r="N39" s="57">
        <v>109823</v>
      </c>
      <c r="O39" s="57">
        <v>116195</v>
      </c>
      <c r="P39" s="57">
        <v>107262</v>
      </c>
      <c r="Q39" s="57">
        <v>103551</v>
      </c>
    </row>
    <row r="40" spans="1:17">
      <c r="A40" s="67" t="s">
        <v>157</v>
      </c>
      <c r="B40" s="57"/>
      <c r="C40" s="57"/>
      <c r="D40" s="57"/>
      <c r="E40" s="57">
        <v>0</v>
      </c>
      <c r="F40" s="57">
        <v>18079</v>
      </c>
      <c r="G40" s="57">
        <v>0</v>
      </c>
      <c r="H40" s="57">
        <v>0</v>
      </c>
      <c r="I40" s="57"/>
      <c r="J40" s="57"/>
      <c r="K40" s="57"/>
      <c r="L40" s="57"/>
      <c r="M40" s="57"/>
      <c r="N40" s="57"/>
      <c r="O40" s="57"/>
      <c r="P40" s="57"/>
      <c r="Q40" s="57"/>
    </row>
    <row r="41" spans="1:17">
      <c r="A41" s="67" t="s">
        <v>158</v>
      </c>
      <c r="B41" s="57">
        <v>9992</v>
      </c>
      <c r="C41" s="57">
        <v>370</v>
      </c>
      <c r="D41" s="57">
        <v>33709</v>
      </c>
      <c r="E41" s="57">
        <v>9518</v>
      </c>
      <c r="F41" s="57">
        <v>8617</v>
      </c>
      <c r="G41" s="57">
        <v>18462</v>
      </c>
      <c r="H41" s="57">
        <v>66550</v>
      </c>
      <c r="I41" s="57">
        <v>138724</v>
      </c>
      <c r="J41" s="57">
        <v>38831</v>
      </c>
      <c r="K41" s="57"/>
      <c r="L41" s="57">
        <v>24733</v>
      </c>
      <c r="M41" s="57">
        <v>33238</v>
      </c>
      <c r="N41" s="57">
        <v>33785</v>
      </c>
      <c r="O41" s="57">
        <v>54151</v>
      </c>
      <c r="P41" s="57">
        <v>42202</v>
      </c>
      <c r="Q41" s="57">
        <v>74637</v>
      </c>
    </row>
    <row r="42" spans="1:17">
      <c r="A42" s="67" t="s">
        <v>159</v>
      </c>
      <c r="B42" s="57">
        <v>16772</v>
      </c>
      <c r="C42" s="57">
        <v>16428</v>
      </c>
      <c r="D42" s="57">
        <v>17004</v>
      </c>
      <c r="E42" s="57">
        <v>20924</v>
      </c>
      <c r="F42" s="57">
        <v>40275</v>
      </c>
      <c r="G42" s="57">
        <v>0</v>
      </c>
      <c r="H42" s="57">
        <v>0</v>
      </c>
      <c r="I42" s="57"/>
      <c r="J42" s="57"/>
      <c r="K42" s="57"/>
      <c r="L42" s="57"/>
      <c r="M42" s="57"/>
      <c r="N42" s="57"/>
      <c r="O42" s="57"/>
      <c r="P42" s="57"/>
      <c r="Q42" s="57"/>
    </row>
    <row r="43" spans="1:17">
      <c r="A43" s="69" t="s">
        <v>129</v>
      </c>
      <c r="B43" s="65">
        <f t="shared" ref="B43:Q43" si="10">B42+B39+B38+B37+B36+B35+B41+B40</f>
        <v>898153</v>
      </c>
      <c r="C43" s="65">
        <f t="shared" si="10"/>
        <v>1182677</v>
      </c>
      <c r="D43" s="65">
        <f t="shared" si="10"/>
        <v>835068</v>
      </c>
      <c r="E43" s="65">
        <f t="shared" si="10"/>
        <v>1183043</v>
      </c>
      <c r="F43" s="65">
        <f t="shared" si="10"/>
        <v>1693429</v>
      </c>
      <c r="G43" s="65">
        <f t="shared" si="10"/>
        <v>3599532</v>
      </c>
      <c r="H43" s="65">
        <f t="shared" si="10"/>
        <v>1432270</v>
      </c>
      <c r="I43" s="65">
        <f t="shared" si="10"/>
        <v>2086377</v>
      </c>
      <c r="J43" s="65">
        <f t="shared" si="10"/>
        <v>1804170</v>
      </c>
      <c r="K43" s="65">
        <f t="shared" si="10"/>
        <v>2286949</v>
      </c>
      <c r="L43" s="65">
        <f t="shared" si="10"/>
        <v>3140955</v>
      </c>
      <c r="M43" s="65">
        <f t="shared" si="10"/>
        <v>4682110</v>
      </c>
      <c r="N43" s="65">
        <f t="shared" si="10"/>
        <v>4764897</v>
      </c>
      <c r="O43" s="65">
        <f t="shared" si="10"/>
        <v>5588996</v>
      </c>
      <c r="P43" s="65">
        <f t="shared" si="10"/>
        <v>3641504</v>
      </c>
      <c r="Q43" s="65">
        <f t="shared" si="10"/>
        <v>5361084</v>
      </c>
    </row>
    <row r="44" spans="1:17">
      <c r="A44" s="70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</row>
    <row r="45" spans="1:17">
      <c r="A45" s="70" t="s">
        <v>160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</row>
    <row r="46" spans="1:17">
      <c r="A46" s="67" t="s">
        <v>161</v>
      </c>
      <c r="B46" s="61">
        <v>44189</v>
      </c>
      <c r="C46" s="61">
        <v>23194</v>
      </c>
      <c r="D46" s="61">
        <v>21393</v>
      </c>
      <c r="E46" s="61">
        <v>9792</v>
      </c>
      <c r="F46" s="61">
        <v>42940</v>
      </c>
      <c r="G46" s="61">
        <v>15348</v>
      </c>
      <c r="H46" s="61">
        <v>2394</v>
      </c>
      <c r="I46" s="61">
        <v>2366</v>
      </c>
      <c r="J46" s="61"/>
      <c r="K46" s="61"/>
      <c r="L46" s="61">
        <v>44291</v>
      </c>
      <c r="M46" s="61">
        <v>99419</v>
      </c>
      <c r="N46" s="61">
        <v>61443</v>
      </c>
      <c r="O46" s="61">
        <v>76431</v>
      </c>
      <c r="P46" s="61">
        <v>0</v>
      </c>
      <c r="Q46" s="61">
        <v>48329</v>
      </c>
    </row>
    <row r="47" spans="1:17">
      <c r="A47" s="67" t="s">
        <v>162</v>
      </c>
      <c r="B47" s="57">
        <v>34551</v>
      </c>
      <c r="C47" s="57">
        <v>45151</v>
      </c>
      <c r="D47" s="57">
        <v>69137</v>
      </c>
      <c r="E47" s="57">
        <v>88143</v>
      </c>
      <c r="F47" s="57">
        <v>90156</v>
      </c>
      <c r="G47" s="57">
        <v>97354</v>
      </c>
      <c r="H47" s="57">
        <v>173343</v>
      </c>
      <c r="I47" s="57">
        <v>230276</v>
      </c>
      <c r="J47" s="57">
        <v>243051</v>
      </c>
      <c r="K47" s="57">
        <v>298640</v>
      </c>
      <c r="L47" s="57">
        <v>314656</v>
      </c>
      <c r="M47" s="57">
        <v>313753</v>
      </c>
      <c r="N47" s="57">
        <v>516897</v>
      </c>
      <c r="O47" s="57">
        <v>890796</v>
      </c>
      <c r="P47" s="57">
        <v>1047024</v>
      </c>
      <c r="Q47" s="57">
        <v>1081544</v>
      </c>
    </row>
    <row r="48" spans="1:17">
      <c r="A48" s="67" t="s">
        <v>163</v>
      </c>
      <c r="B48" s="57">
        <v>58475</v>
      </c>
      <c r="C48" s="57">
        <v>58576</v>
      </c>
      <c r="D48" s="57">
        <v>59503</v>
      </c>
      <c r="E48" s="57">
        <v>63611</v>
      </c>
      <c r="F48" s="57">
        <v>54106</v>
      </c>
      <c r="G48" s="57">
        <v>140468</v>
      </c>
      <c r="H48" s="57">
        <v>159556</v>
      </c>
      <c r="I48" s="57">
        <v>92333</v>
      </c>
      <c r="J48" s="57">
        <v>85687</v>
      </c>
      <c r="K48" s="57"/>
      <c r="L48" s="57">
        <v>241650</v>
      </c>
      <c r="M48" s="57">
        <v>225221</v>
      </c>
      <c r="N48" s="57">
        <v>177039</v>
      </c>
      <c r="O48" s="57">
        <v>175003</v>
      </c>
      <c r="P48" s="57">
        <v>184260</v>
      </c>
      <c r="Q48" s="57">
        <v>188646</v>
      </c>
    </row>
    <row r="49" spans="1:18">
      <c r="A49" s="67" t="s">
        <v>164</v>
      </c>
      <c r="B49" s="57">
        <v>43316</v>
      </c>
      <c r="C49" s="57">
        <v>48396</v>
      </c>
      <c r="D49" s="57">
        <v>54648</v>
      </c>
      <c r="E49" s="57">
        <v>65774</v>
      </c>
      <c r="F49" s="57">
        <v>50748</v>
      </c>
      <c r="G49" s="57">
        <v>427986</v>
      </c>
      <c r="H49" s="57">
        <v>1032635</v>
      </c>
      <c r="I49" s="57">
        <v>1034085</v>
      </c>
      <c r="J49" s="57">
        <v>1045878</v>
      </c>
      <c r="K49" s="57">
        <v>1052105</v>
      </c>
      <c r="L49" s="57">
        <v>1059046</v>
      </c>
      <c r="M49" s="57">
        <v>1072386</v>
      </c>
      <c r="N49" s="57">
        <v>1220410</v>
      </c>
      <c r="O49" s="57">
        <v>1427139</v>
      </c>
      <c r="P49" s="57">
        <v>1414252</v>
      </c>
      <c r="Q49" s="57">
        <v>1379268</v>
      </c>
    </row>
    <row r="50" spans="1:18">
      <c r="A50" s="67" t="s">
        <v>165</v>
      </c>
      <c r="B50" s="57">
        <v>0</v>
      </c>
      <c r="C50" s="57">
        <v>0</v>
      </c>
      <c r="D50" s="57">
        <v>0</v>
      </c>
      <c r="E50" s="57">
        <v>0</v>
      </c>
      <c r="F50" s="57">
        <v>0</v>
      </c>
      <c r="G50" s="57">
        <v>1279715</v>
      </c>
      <c r="H50" s="57">
        <v>1331643</v>
      </c>
      <c r="I50" s="57">
        <v>1331643</v>
      </c>
      <c r="J50" s="57">
        <v>1331643</v>
      </c>
      <c r="K50" s="57">
        <v>1331643</v>
      </c>
      <c r="L50" s="57">
        <v>1331643</v>
      </c>
      <c r="M50" s="57">
        <v>1331643</v>
      </c>
      <c r="N50" s="57">
        <v>1417941</v>
      </c>
      <c r="O50" s="57">
        <v>1417941</v>
      </c>
      <c r="P50" s="57">
        <v>1331643</v>
      </c>
      <c r="Q50" s="57">
        <v>1331643</v>
      </c>
    </row>
    <row r="51" spans="1:18">
      <c r="A51" s="67" t="s">
        <v>166</v>
      </c>
      <c r="B51" s="57">
        <v>3447</v>
      </c>
      <c r="C51" s="57">
        <v>4405</v>
      </c>
      <c r="D51" s="57">
        <v>3576</v>
      </c>
      <c r="E51" s="57">
        <v>10146</v>
      </c>
      <c r="F51" s="57">
        <v>7496</v>
      </c>
      <c r="G51" s="57">
        <v>10874</v>
      </c>
      <c r="H51" s="57">
        <v>21630</v>
      </c>
      <c r="I51" s="57">
        <v>13932</v>
      </c>
      <c r="J51" s="57">
        <v>16462</v>
      </c>
      <c r="K51" s="57">
        <v>53973</v>
      </c>
      <c r="L51" s="57">
        <v>70475</v>
      </c>
      <c r="M51" s="57">
        <v>80252</v>
      </c>
      <c r="N51" s="57">
        <v>134478</v>
      </c>
      <c r="O51" s="57">
        <v>110216</v>
      </c>
      <c r="P51" s="57">
        <v>100406</v>
      </c>
      <c r="Q51" s="57">
        <v>159431</v>
      </c>
    </row>
    <row r="52" spans="1:18">
      <c r="A52" s="67" t="s">
        <v>167</v>
      </c>
      <c r="B52" s="61">
        <f t="shared" ref="B52:Q52" si="11">B51+B50+B49+B47+B48+B46</f>
        <v>183978</v>
      </c>
      <c r="C52" s="61">
        <f t="shared" si="11"/>
        <v>179722</v>
      </c>
      <c r="D52" s="61">
        <f t="shared" si="11"/>
        <v>208257</v>
      </c>
      <c r="E52" s="61">
        <f t="shared" si="11"/>
        <v>237466</v>
      </c>
      <c r="F52" s="61">
        <f t="shared" si="11"/>
        <v>245446</v>
      </c>
      <c r="G52" s="61">
        <f t="shared" si="11"/>
        <v>1971745</v>
      </c>
      <c r="H52" s="61">
        <f t="shared" si="11"/>
        <v>2721201</v>
      </c>
      <c r="I52" s="61">
        <f t="shared" si="11"/>
        <v>2704635</v>
      </c>
      <c r="J52" s="61">
        <f t="shared" si="11"/>
        <v>2722721</v>
      </c>
      <c r="K52" s="61">
        <f t="shared" si="11"/>
        <v>2736361</v>
      </c>
      <c r="L52" s="61">
        <f t="shared" si="11"/>
        <v>3061761</v>
      </c>
      <c r="M52" s="61">
        <f t="shared" si="11"/>
        <v>3122674</v>
      </c>
      <c r="N52" s="61">
        <f t="shared" si="11"/>
        <v>3528208</v>
      </c>
      <c r="O52" s="61">
        <f t="shared" si="11"/>
        <v>4097526</v>
      </c>
      <c r="P52" s="61">
        <f t="shared" si="11"/>
        <v>4077585</v>
      </c>
      <c r="Q52" s="61">
        <f t="shared" si="11"/>
        <v>4188861</v>
      </c>
      <c r="R52" s="17"/>
    </row>
    <row r="53" spans="1:18">
      <c r="A53" s="76" t="s">
        <v>168</v>
      </c>
      <c r="B53" s="80">
        <f t="shared" ref="B53:Q53" si="12">B52+B43</f>
        <v>1082131</v>
      </c>
      <c r="C53" s="80">
        <f t="shared" si="12"/>
        <v>1362399</v>
      </c>
      <c r="D53" s="80">
        <f t="shared" si="12"/>
        <v>1043325</v>
      </c>
      <c r="E53" s="80">
        <f t="shared" si="12"/>
        <v>1420509</v>
      </c>
      <c r="F53" s="80">
        <f t="shared" si="12"/>
        <v>1938875</v>
      </c>
      <c r="G53" s="80">
        <f t="shared" si="12"/>
        <v>5571277</v>
      </c>
      <c r="H53" s="80">
        <f t="shared" si="12"/>
        <v>4153471</v>
      </c>
      <c r="I53" s="80">
        <f t="shared" si="12"/>
        <v>4791012</v>
      </c>
      <c r="J53" s="80">
        <f t="shared" si="12"/>
        <v>4526891</v>
      </c>
      <c r="K53" s="80">
        <f t="shared" si="12"/>
        <v>5023310</v>
      </c>
      <c r="L53" s="80">
        <f t="shared" si="12"/>
        <v>6202716</v>
      </c>
      <c r="M53" s="80">
        <f t="shared" si="12"/>
        <v>7804784</v>
      </c>
      <c r="N53" s="80">
        <f t="shared" si="12"/>
        <v>8293105</v>
      </c>
      <c r="O53" s="80">
        <f t="shared" si="12"/>
        <v>9686522</v>
      </c>
      <c r="P53" s="80">
        <f t="shared" si="12"/>
        <v>7719089</v>
      </c>
      <c r="Q53" s="80">
        <f t="shared" si="12"/>
        <v>9549945</v>
      </c>
    </row>
    <row r="54" spans="1:18">
      <c r="A54" s="70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</row>
    <row r="55" spans="1:18">
      <c r="A55" s="70" t="s">
        <v>169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</row>
    <row r="56" spans="1:18">
      <c r="A56" s="67" t="s">
        <v>170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</row>
    <row r="57" spans="1:18">
      <c r="A57" s="67" t="s">
        <v>130</v>
      </c>
      <c r="B57" s="57">
        <v>85674</v>
      </c>
      <c r="C57" s="57">
        <v>113446</v>
      </c>
      <c r="D57" s="57">
        <v>127330</v>
      </c>
      <c r="E57" s="57">
        <v>119376</v>
      </c>
      <c r="F57" s="57">
        <v>127641</v>
      </c>
      <c r="G57" s="57">
        <v>144763</v>
      </c>
      <c r="H57" s="57">
        <v>193270</v>
      </c>
      <c r="I57" s="57">
        <v>245910</v>
      </c>
      <c r="J57" s="57">
        <v>248760</v>
      </c>
      <c r="K57" s="57">
        <v>274045</v>
      </c>
      <c r="L57" s="57">
        <v>296800</v>
      </c>
      <c r="M57" s="57">
        <v>404263</v>
      </c>
      <c r="N57" s="57">
        <v>444265</v>
      </c>
      <c r="O57" s="57">
        <v>564379</v>
      </c>
      <c r="P57" s="57">
        <v>466775</v>
      </c>
      <c r="Q57" s="57">
        <v>565974</v>
      </c>
    </row>
    <row r="58" spans="1:18">
      <c r="A58" s="67" t="s">
        <v>131</v>
      </c>
      <c r="B58" s="57">
        <v>23811</v>
      </c>
      <c r="C58" s="57">
        <v>31966</v>
      </c>
      <c r="D58" s="57">
        <v>38916</v>
      </c>
      <c r="E58" s="57">
        <v>59113</v>
      </c>
      <c r="F58" s="57">
        <v>40271</v>
      </c>
      <c r="G58" s="57">
        <v>81786</v>
      </c>
      <c r="H58" s="57">
        <v>79526</v>
      </c>
      <c r="I58" s="57">
        <v>87475</v>
      </c>
      <c r="J58" s="57">
        <v>112507</v>
      </c>
      <c r="K58" s="57">
        <v>114075</v>
      </c>
      <c r="L58" s="57">
        <v>142653</v>
      </c>
      <c r="M58" s="57">
        <v>210964</v>
      </c>
      <c r="N58" s="57">
        <v>172991</v>
      </c>
      <c r="O58" s="57">
        <v>183988</v>
      </c>
      <c r="P58" s="57">
        <v>220764</v>
      </c>
      <c r="Q58" s="57">
        <v>306085</v>
      </c>
    </row>
    <row r="59" spans="1:18">
      <c r="A59" s="67" t="s">
        <v>171</v>
      </c>
      <c r="B59" s="57">
        <v>407</v>
      </c>
      <c r="C59" s="57"/>
      <c r="D59" s="57"/>
      <c r="E59" s="57"/>
      <c r="F59" s="57"/>
      <c r="G59" s="57">
        <v>11018</v>
      </c>
      <c r="H59" s="57">
        <v>8184</v>
      </c>
      <c r="I59" s="57">
        <v>91</v>
      </c>
      <c r="J59" s="57">
        <v>0</v>
      </c>
      <c r="K59" s="57"/>
      <c r="L59" s="57"/>
      <c r="M59" s="57"/>
      <c r="N59" s="57"/>
      <c r="O59" s="57"/>
      <c r="P59" s="57"/>
      <c r="Q59" s="57"/>
    </row>
    <row r="60" spans="1:18">
      <c r="A60" s="67" t="s">
        <v>133</v>
      </c>
      <c r="B60" s="57">
        <v>10140</v>
      </c>
      <c r="C60" s="57">
        <v>11583</v>
      </c>
      <c r="D60" s="57">
        <v>12695</v>
      </c>
      <c r="E60" s="57">
        <v>13832</v>
      </c>
      <c r="F60" s="57">
        <v>49926</v>
      </c>
      <c r="G60" s="57">
        <v>32271</v>
      </c>
      <c r="H60" s="57">
        <v>41672</v>
      </c>
      <c r="I60" s="57">
        <v>43236</v>
      </c>
      <c r="J60" s="57">
        <v>44045</v>
      </c>
      <c r="K60" s="57"/>
      <c r="L60" s="57">
        <v>45429</v>
      </c>
      <c r="M60" s="57">
        <v>42530</v>
      </c>
      <c r="N60" s="57">
        <v>43311</v>
      </c>
      <c r="O60" s="57">
        <v>41914</v>
      </c>
      <c r="P60" s="57">
        <v>45809</v>
      </c>
      <c r="Q60" s="57">
        <v>45323</v>
      </c>
    </row>
    <row r="61" spans="1:18">
      <c r="A61" s="67" t="s">
        <v>172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spans="1:18">
      <c r="A62" s="67" t="s">
        <v>132</v>
      </c>
      <c r="B62" s="61">
        <v>0</v>
      </c>
      <c r="C62" s="57">
        <v>87746</v>
      </c>
      <c r="D62" s="57">
        <v>91208</v>
      </c>
      <c r="E62" s="57">
        <v>99470</v>
      </c>
      <c r="F62" s="57">
        <v>114047</v>
      </c>
      <c r="G62" s="57">
        <v>115530</v>
      </c>
      <c r="H62" s="57">
        <v>110237</v>
      </c>
      <c r="I62" s="57">
        <v>137998</v>
      </c>
      <c r="J62" s="57">
        <v>145741</v>
      </c>
      <c r="K62" s="57">
        <v>166761</v>
      </c>
      <c r="L62" s="57">
        <v>186658</v>
      </c>
      <c r="M62" s="57">
        <v>211461</v>
      </c>
      <c r="N62" s="57">
        <v>255631</v>
      </c>
      <c r="O62" s="57">
        <v>269061</v>
      </c>
      <c r="P62" s="57">
        <v>267711</v>
      </c>
      <c r="Q62" s="57">
        <v>384070</v>
      </c>
    </row>
    <row r="63" spans="1:18">
      <c r="A63" s="67" t="s">
        <v>134</v>
      </c>
      <c r="B63" s="57">
        <v>7603</v>
      </c>
      <c r="C63" s="57">
        <v>10353</v>
      </c>
      <c r="D63" s="57">
        <v>12926</v>
      </c>
      <c r="E63" s="57">
        <v>14864</v>
      </c>
      <c r="F63" s="57">
        <v>17983</v>
      </c>
      <c r="G63" s="57">
        <v>22159</v>
      </c>
      <c r="H63" s="57">
        <v>30043</v>
      </c>
      <c r="I63" s="57">
        <v>34996</v>
      </c>
      <c r="J63" s="57">
        <v>39903</v>
      </c>
      <c r="K63" s="57"/>
      <c r="L63" s="57">
        <v>55015</v>
      </c>
      <c r="M63" s="57">
        <v>65459</v>
      </c>
      <c r="N63" s="57">
        <v>72463</v>
      </c>
      <c r="O63" s="57">
        <v>87392</v>
      </c>
      <c r="P63" s="57">
        <v>92454</v>
      </c>
      <c r="Q63" s="57">
        <v>114023</v>
      </c>
    </row>
    <row r="64" spans="1:18">
      <c r="A64" s="67" t="s">
        <v>135</v>
      </c>
      <c r="B64" s="57">
        <v>925</v>
      </c>
      <c r="C64" s="57">
        <v>10996</v>
      </c>
      <c r="D64" s="57">
        <v>5470</v>
      </c>
      <c r="E64" s="57">
        <v>9359</v>
      </c>
      <c r="F64" s="57">
        <v>5848</v>
      </c>
      <c r="G64" s="57">
        <v>2750</v>
      </c>
      <c r="H64" s="57">
        <v>7657</v>
      </c>
      <c r="I64" s="57">
        <v>10645</v>
      </c>
      <c r="J64" s="57">
        <v>10189</v>
      </c>
      <c r="K64" s="57">
        <v>14717</v>
      </c>
      <c r="L64" s="57">
        <v>23433</v>
      </c>
      <c r="M64" s="57">
        <v>30399</v>
      </c>
      <c r="N64" s="57">
        <v>13317</v>
      </c>
      <c r="O64" s="57">
        <v>14955</v>
      </c>
      <c r="P64" s="57">
        <v>4006</v>
      </c>
      <c r="Q64" s="57">
        <v>32305</v>
      </c>
    </row>
    <row r="65" spans="1:17">
      <c r="A65" s="67" t="s">
        <v>173</v>
      </c>
      <c r="B65" s="57">
        <v>274</v>
      </c>
      <c r="C65" s="57">
        <v>0</v>
      </c>
      <c r="D65" s="57">
        <v>0</v>
      </c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spans="1:17">
      <c r="A66" s="69" t="s">
        <v>174</v>
      </c>
      <c r="B66" s="81">
        <f t="shared" ref="B66:Q66" si="13">B56+B65+B64+B62+B58+B57+B61+B59+B60+B63</f>
        <v>128834</v>
      </c>
      <c r="C66" s="81">
        <f t="shared" si="13"/>
        <v>266090</v>
      </c>
      <c r="D66" s="81">
        <f t="shared" si="13"/>
        <v>288545</v>
      </c>
      <c r="E66" s="81">
        <f t="shared" si="13"/>
        <v>316014</v>
      </c>
      <c r="F66" s="81">
        <f t="shared" si="13"/>
        <v>355716</v>
      </c>
      <c r="G66" s="81">
        <f t="shared" si="13"/>
        <v>410277</v>
      </c>
      <c r="H66" s="81">
        <f t="shared" si="13"/>
        <v>470589</v>
      </c>
      <c r="I66" s="81">
        <f t="shared" si="13"/>
        <v>560351</v>
      </c>
      <c r="J66" s="81">
        <f t="shared" si="13"/>
        <v>601145</v>
      </c>
      <c r="K66" s="81">
        <f t="shared" si="13"/>
        <v>569598</v>
      </c>
      <c r="L66" s="81">
        <f t="shared" si="13"/>
        <v>749988</v>
      </c>
      <c r="M66" s="81">
        <f t="shared" si="13"/>
        <v>965076</v>
      </c>
      <c r="N66" s="81">
        <f t="shared" si="13"/>
        <v>1001978</v>
      </c>
      <c r="O66" s="81">
        <f t="shared" si="13"/>
        <v>1161689</v>
      </c>
      <c r="P66" s="81">
        <f t="shared" si="13"/>
        <v>1097519</v>
      </c>
      <c r="Q66" s="81">
        <f t="shared" si="13"/>
        <v>1447780</v>
      </c>
    </row>
    <row r="67" spans="1:17">
      <c r="A67" s="70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</row>
    <row r="68" spans="1:17">
      <c r="A68" s="70" t="s">
        <v>175</v>
      </c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</row>
    <row r="69" spans="1:17">
      <c r="A69" s="67" t="s">
        <v>176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>
        <v>373951</v>
      </c>
      <c r="Q69" s="57">
        <v>0</v>
      </c>
    </row>
    <row r="70" spans="1:17">
      <c r="A70" s="67" t="s">
        <v>133</v>
      </c>
      <c r="B70" s="57">
        <v>124899</v>
      </c>
      <c r="C70" s="57">
        <v>117151</v>
      </c>
      <c r="D70" s="57">
        <v>110383</v>
      </c>
      <c r="E70" s="57">
        <v>112216</v>
      </c>
      <c r="F70" s="57">
        <v>68009</v>
      </c>
      <c r="G70" s="57">
        <v>351590</v>
      </c>
      <c r="H70" s="57">
        <v>353173</v>
      </c>
      <c r="I70" s="57">
        <v>334354</v>
      </c>
      <c r="J70" s="57">
        <v>312224</v>
      </c>
      <c r="K70" s="57">
        <v>287469</v>
      </c>
      <c r="L70" s="57">
        <v>264436</v>
      </c>
      <c r="M70" s="57">
        <v>243249</v>
      </c>
      <c r="N70" s="57">
        <v>223800</v>
      </c>
      <c r="O70" s="57">
        <v>204251</v>
      </c>
      <c r="P70" s="57">
        <v>179008</v>
      </c>
      <c r="Q70" s="57">
        <v>159991</v>
      </c>
    </row>
    <row r="71" spans="1:17">
      <c r="A71" s="67" t="s">
        <v>177</v>
      </c>
      <c r="B71" s="57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/>
      <c r="J71" s="57"/>
      <c r="K71" s="57"/>
      <c r="L71" s="57"/>
      <c r="M71" s="57"/>
      <c r="N71" s="57"/>
      <c r="O71" s="57"/>
      <c r="P71" s="57"/>
      <c r="Q71" s="57"/>
    </row>
    <row r="72" spans="1:17">
      <c r="A72" s="67" t="s">
        <v>178</v>
      </c>
      <c r="B72" s="57"/>
      <c r="C72" s="57"/>
      <c r="D72" s="57"/>
      <c r="E72" s="57"/>
      <c r="F72" s="57"/>
      <c r="G72" s="57"/>
      <c r="H72" s="57"/>
      <c r="I72" s="57">
        <v>1095</v>
      </c>
      <c r="J72" s="57">
        <v>2621</v>
      </c>
      <c r="K72" s="57"/>
      <c r="L72" s="57">
        <v>27432</v>
      </c>
      <c r="M72" s="57">
        <v>29508</v>
      </c>
      <c r="N72" s="57">
        <v>42286</v>
      </c>
      <c r="O72" s="57">
        <v>91838</v>
      </c>
      <c r="P72" s="57">
        <v>110893</v>
      </c>
      <c r="Q72" s="57">
        <v>127066</v>
      </c>
    </row>
    <row r="73" spans="1:17">
      <c r="A73" s="67" t="s">
        <v>179</v>
      </c>
      <c r="B73" s="82">
        <f t="shared" ref="B73:Q73" si="14">B70+B69+B71+B72</f>
        <v>124899</v>
      </c>
      <c r="C73" s="82">
        <f t="shared" si="14"/>
        <v>117151</v>
      </c>
      <c r="D73" s="82">
        <f t="shared" si="14"/>
        <v>110383</v>
      </c>
      <c r="E73" s="82">
        <f t="shared" si="14"/>
        <v>112216</v>
      </c>
      <c r="F73" s="82">
        <f t="shared" si="14"/>
        <v>68009</v>
      </c>
      <c r="G73" s="82">
        <f t="shared" si="14"/>
        <v>351590</v>
      </c>
      <c r="H73" s="82">
        <f t="shared" si="14"/>
        <v>353173</v>
      </c>
      <c r="I73" s="82">
        <f t="shared" si="14"/>
        <v>335449</v>
      </c>
      <c r="J73" s="82">
        <f t="shared" si="14"/>
        <v>314845</v>
      </c>
      <c r="K73" s="82">
        <f t="shared" si="14"/>
        <v>287469</v>
      </c>
      <c r="L73" s="82">
        <f t="shared" si="14"/>
        <v>291868</v>
      </c>
      <c r="M73" s="82">
        <f t="shared" si="14"/>
        <v>272757</v>
      </c>
      <c r="N73" s="82">
        <f t="shared" si="14"/>
        <v>266086</v>
      </c>
      <c r="O73" s="82">
        <f t="shared" si="14"/>
        <v>296089</v>
      </c>
      <c r="P73" s="82">
        <f t="shared" si="14"/>
        <v>663852</v>
      </c>
      <c r="Q73" s="82">
        <f t="shared" si="14"/>
        <v>287057</v>
      </c>
    </row>
    <row r="74" spans="1:17">
      <c r="A74" s="77" t="s">
        <v>180</v>
      </c>
      <c r="B74" s="80">
        <f t="shared" ref="B74:Q74" si="15">B73+B66</f>
        <v>253733</v>
      </c>
      <c r="C74" s="80">
        <f t="shared" si="15"/>
        <v>383241</v>
      </c>
      <c r="D74" s="80">
        <f t="shared" si="15"/>
        <v>398928</v>
      </c>
      <c r="E74" s="80">
        <f t="shared" si="15"/>
        <v>428230</v>
      </c>
      <c r="F74" s="80">
        <f t="shared" si="15"/>
        <v>423725</v>
      </c>
      <c r="G74" s="80">
        <f t="shared" si="15"/>
        <v>761867</v>
      </c>
      <c r="H74" s="80">
        <f t="shared" si="15"/>
        <v>823762</v>
      </c>
      <c r="I74" s="80">
        <f t="shared" si="15"/>
        <v>895800</v>
      </c>
      <c r="J74" s="80">
        <f t="shared" si="15"/>
        <v>915990</v>
      </c>
      <c r="K74" s="80">
        <f t="shared" si="15"/>
        <v>857067</v>
      </c>
      <c r="L74" s="80">
        <f t="shared" si="15"/>
        <v>1041856</v>
      </c>
      <c r="M74" s="80">
        <f t="shared" si="15"/>
        <v>1237833</v>
      </c>
      <c r="N74" s="80">
        <f t="shared" si="15"/>
        <v>1268064</v>
      </c>
      <c r="O74" s="80">
        <f t="shared" si="15"/>
        <v>1457778</v>
      </c>
      <c r="P74" s="80">
        <f t="shared" si="15"/>
        <v>1761371</v>
      </c>
      <c r="Q74" s="80">
        <f t="shared" si="15"/>
        <v>1734837</v>
      </c>
    </row>
    <row r="75" spans="1:17">
      <c r="A75" s="6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</row>
    <row r="76" spans="1:17">
      <c r="A76" s="70" t="s">
        <v>181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</row>
    <row r="77" spans="1:17">
      <c r="A77" s="67" t="s">
        <v>182</v>
      </c>
      <c r="B77" s="57">
        <v>494</v>
      </c>
      <c r="C77" s="57">
        <v>994</v>
      </c>
      <c r="D77" s="57">
        <v>1019</v>
      </c>
      <c r="E77" s="57">
        <v>1030</v>
      </c>
      <c r="F77" s="57">
        <v>1035</v>
      </c>
      <c r="G77" s="57">
        <v>3105</v>
      </c>
      <c r="H77" s="57">
        <v>3116</v>
      </c>
      <c r="I77" s="57">
        <v>3146</v>
      </c>
      <c r="J77" s="57">
        <v>3155</v>
      </c>
      <c r="K77" s="57">
        <v>3182</v>
      </c>
      <c r="L77" s="57">
        <v>3193</v>
      </c>
      <c r="M77" s="57">
        <v>3200</v>
      </c>
      <c r="N77" s="57">
        <v>6418</v>
      </c>
      <c r="O77" s="57">
        <v>5613</v>
      </c>
      <c r="P77" s="57">
        <v>5632</v>
      </c>
      <c r="Q77" s="57">
        <v>5665</v>
      </c>
    </row>
    <row r="78" spans="1:17">
      <c r="A78" s="67" t="s">
        <v>136</v>
      </c>
      <c r="B78" s="57">
        <v>187040</v>
      </c>
      <c r="C78" s="57">
        <v>229301</v>
      </c>
      <c r="D78" s="57">
        <v>287953</v>
      </c>
      <c r="E78" s="57">
        <v>368069</v>
      </c>
      <c r="F78" s="57">
        <v>426145</v>
      </c>
      <c r="G78" s="57">
        <v>3989787</v>
      </c>
      <c r="H78" s="57">
        <v>4051245</v>
      </c>
      <c r="I78" s="57">
        <v>4150628</v>
      </c>
      <c r="J78" s="57">
        <v>4238170</v>
      </c>
      <c r="K78" s="57">
        <v>4397511</v>
      </c>
      <c r="L78" s="57">
        <v>4537982</v>
      </c>
      <c r="M78" s="57">
        <v>4652620</v>
      </c>
      <c r="N78" s="57">
        <v>4776804</v>
      </c>
      <c r="O78" s="57">
        <v>4975115</v>
      </c>
      <c r="P78" s="57">
        <v>5144922</v>
      </c>
      <c r="Q78" s="57">
        <v>5430847</v>
      </c>
    </row>
    <row r="79" spans="1:17">
      <c r="A79" s="67" t="s">
        <v>183</v>
      </c>
      <c r="B79" s="61">
        <v>882425</v>
      </c>
      <c r="C79" s="61">
        <v>1168644</v>
      </c>
      <c r="D79" s="61">
        <v>1508664</v>
      </c>
      <c r="E79" s="61">
        <v>1847325</v>
      </c>
      <c r="F79" s="61">
        <v>2330510</v>
      </c>
      <c r="G79" s="61">
        <v>1394863</v>
      </c>
      <c r="H79" s="61">
        <v>2107548</v>
      </c>
      <c r="I79" s="61">
        <v>2928226</v>
      </c>
      <c r="J79" s="61">
        <v>3914645</v>
      </c>
      <c r="K79" s="61">
        <v>5022480</v>
      </c>
      <c r="L79" s="61">
        <v>6432074</v>
      </c>
      <c r="M79" s="61">
        <v>7809549</v>
      </c>
      <c r="N79" s="61">
        <v>9001173</v>
      </c>
      <c r="O79" s="61">
        <v>5939736</v>
      </c>
      <c r="P79" s="61">
        <v>7448784</v>
      </c>
      <c r="Q79" s="61">
        <v>9354216</v>
      </c>
    </row>
    <row r="80" spans="1:17">
      <c r="A80" s="67" t="s">
        <v>184</v>
      </c>
      <c r="B80" s="61">
        <v>281</v>
      </c>
      <c r="C80" s="83">
        <v>-1547</v>
      </c>
      <c r="D80" s="61">
        <v>2074</v>
      </c>
      <c r="E80" s="83">
        <v>-1233</v>
      </c>
      <c r="F80" s="83">
        <v>-11453</v>
      </c>
      <c r="G80" s="83">
        <v>-21878</v>
      </c>
      <c r="H80" s="83">
        <v>-23249</v>
      </c>
      <c r="I80" s="83">
        <v>-16659</v>
      </c>
      <c r="J80" s="83">
        <v>-32864</v>
      </c>
      <c r="K80" s="83">
        <v>-32387</v>
      </c>
      <c r="L80" s="61">
        <v>3034</v>
      </c>
      <c r="M80" s="83">
        <v>-69165</v>
      </c>
      <c r="N80" s="83">
        <v>-159073</v>
      </c>
      <c r="O80" s="83">
        <v>-125337</v>
      </c>
      <c r="P80" s="83">
        <v>-269487</v>
      </c>
      <c r="Q80" s="83">
        <v>-60841</v>
      </c>
    </row>
    <row r="81" spans="1:19">
      <c r="A81" s="67" t="s">
        <v>185</v>
      </c>
      <c r="B81" s="83">
        <v>-241842</v>
      </c>
      <c r="C81" s="83">
        <v>-418234</v>
      </c>
      <c r="D81" s="83">
        <v>-1155313</v>
      </c>
      <c r="E81" s="83">
        <v>-1222912</v>
      </c>
      <c r="F81" s="83">
        <v>-1231087</v>
      </c>
      <c r="G81" s="83">
        <v>-556467</v>
      </c>
      <c r="H81" s="83">
        <v>-2808951</v>
      </c>
      <c r="I81" s="83">
        <v>-3170129</v>
      </c>
      <c r="J81" s="83">
        <v>-4512205</v>
      </c>
      <c r="K81" s="83">
        <v>-5219505</v>
      </c>
      <c r="L81" s="83">
        <v>-5815423</v>
      </c>
      <c r="M81" s="83">
        <v>-5829253</v>
      </c>
      <c r="N81" s="83">
        <v>-6600281</v>
      </c>
      <c r="O81" s="83">
        <v>-2566383</v>
      </c>
      <c r="P81" s="83">
        <v>-6372133</v>
      </c>
      <c r="Q81" s="83">
        <v>-6475779</v>
      </c>
    </row>
    <row r="82" spans="1:19">
      <c r="A82" s="69" t="s">
        <v>186</v>
      </c>
      <c r="B82" s="81">
        <f t="shared" ref="B82:Q82" si="16">B81+B80+B79+B78+B77</f>
        <v>828398</v>
      </c>
      <c r="C82" s="81">
        <f t="shared" si="16"/>
        <v>979158</v>
      </c>
      <c r="D82" s="81">
        <f t="shared" si="16"/>
        <v>644397</v>
      </c>
      <c r="E82" s="81">
        <f t="shared" si="16"/>
        <v>992279</v>
      </c>
      <c r="F82" s="81">
        <f t="shared" si="16"/>
        <v>1515150</v>
      </c>
      <c r="G82" s="81">
        <f t="shared" si="16"/>
        <v>4809410</v>
      </c>
      <c r="H82" s="81">
        <f t="shared" si="16"/>
        <v>3329709</v>
      </c>
      <c r="I82" s="81">
        <f t="shared" si="16"/>
        <v>3895212</v>
      </c>
      <c r="J82" s="81">
        <f t="shared" si="16"/>
        <v>3610901</v>
      </c>
      <c r="K82" s="81">
        <f t="shared" si="16"/>
        <v>4171281</v>
      </c>
      <c r="L82" s="81">
        <f t="shared" si="16"/>
        <v>5160860</v>
      </c>
      <c r="M82" s="81">
        <f t="shared" si="16"/>
        <v>6566951</v>
      </c>
      <c r="N82" s="81">
        <f t="shared" si="16"/>
        <v>7025041</v>
      </c>
      <c r="O82" s="81">
        <f t="shared" si="16"/>
        <v>8228744</v>
      </c>
      <c r="P82" s="81">
        <f t="shared" si="16"/>
        <v>5957718</v>
      </c>
      <c r="Q82" s="81">
        <f t="shared" si="16"/>
        <v>8254108</v>
      </c>
    </row>
    <row r="83" spans="1:19">
      <c r="A83" s="69" t="s">
        <v>187</v>
      </c>
      <c r="B83" s="81">
        <f t="shared" ref="B83:Q83" si="17">B82+B74</f>
        <v>1082131</v>
      </c>
      <c r="C83" s="81">
        <f t="shared" si="17"/>
        <v>1362399</v>
      </c>
      <c r="D83" s="81">
        <f t="shared" si="17"/>
        <v>1043325</v>
      </c>
      <c r="E83" s="81">
        <f t="shared" si="17"/>
        <v>1420509</v>
      </c>
      <c r="F83" s="81">
        <f t="shared" si="17"/>
        <v>1938875</v>
      </c>
      <c r="G83" s="81">
        <f t="shared" si="17"/>
        <v>5571277</v>
      </c>
      <c r="H83" s="81">
        <f t="shared" si="17"/>
        <v>4153471</v>
      </c>
      <c r="I83" s="81">
        <f t="shared" si="17"/>
        <v>4791012</v>
      </c>
      <c r="J83" s="81">
        <f t="shared" si="17"/>
        <v>4526891</v>
      </c>
      <c r="K83" s="81">
        <f t="shared" si="17"/>
        <v>5028348</v>
      </c>
      <c r="L83" s="81">
        <f t="shared" si="17"/>
        <v>6202716</v>
      </c>
      <c r="M83" s="81">
        <f t="shared" si="17"/>
        <v>7804784</v>
      </c>
      <c r="N83" s="81">
        <f t="shared" si="17"/>
        <v>8293105</v>
      </c>
      <c r="O83" s="81">
        <f t="shared" si="17"/>
        <v>9686522</v>
      </c>
      <c r="P83" s="81">
        <f t="shared" si="17"/>
        <v>7719089</v>
      </c>
      <c r="Q83" s="81">
        <f t="shared" si="17"/>
        <v>9988945</v>
      </c>
    </row>
    <row r="84" spans="1:1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78"/>
      <c r="P84" s="78"/>
      <c r="Q84" s="78"/>
    </row>
    <row r="85" spans="1:19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8"/>
      <c r="P85" s="8"/>
      <c r="Q85" s="8"/>
    </row>
    <row r="86" spans="1:19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8"/>
      <c r="P86" s="8"/>
      <c r="Q86" s="8"/>
    </row>
    <row r="87" spans="1:19">
      <c r="A87" s="47" t="s">
        <v>106</v>
      </c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</row>
    <row r="88" spans="1:19">
      <c r="A88" s="47" t="s">
        <v>141</v>
      </c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</row>
    <row r="89" spans="1:19">
      <c r="A89" s="47"/>
      <c r="B89" s="47">
        <v>2010</v>
      </c>
      <c r="C89" s="47">
        <f>B89+1</f>
        <v>2011</v>
      </c>
      <c r="D89" s="47">
        <f t="shared" ref="D89:I89" si="18">C89+1</f>
        <v>2012</v>
      </c>
      <c r="E89" s="47">
        <f t="shared" si="18"/>
        <v>2013</v>
      </c>
      <c r="F89" s="47">
        <f t="shared" si="18"/>
        <v>2014</v>
      </c>
      <c r="G89" s="47">
        <f t="shared" si="18"/>
        <v>2015</v>
      </c>
      <c r="H89" s="47">
        <f t="shared" si="18"/>
        <v>2016</v>
      </c>
      <c r="I89" s="47">
        <f t="shared" si="18"/>
        <v>2017</v>
      </c>
      <c r="J89" s="47">
        <f>I89+1</f>
        <v>2018</v>
      </c>
      <c r="K89" s="47">
        <f t="shared" ref="K89:N89" si="19">J89+1</f>
        <v>2019</v>
      </c>
      <c r="L89" s="47">
        <f t="shared" si="19"/>
        <v>2020</v>
      </c>
      <c r="M89" s="47">
        <f t="shared" si="19"/>
        <v>2021</v>
      </c>
      <c r="N89" s="47">
        <f t="shared" si="19"/>
        <v>2022</v>
      </c>
      <c r="O89" s="47">
        <v>2023</v>
      </c>
      <c r="P89" s="47">
        <v>2024</v>
      </c>
      <c r="Q89" s="47">
        <v>2025</v>
      </c>
    </row>
    <row r="90" spans="1:19">
      <c r="A90" s="4" t="s">
        <v>34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9">
      <c r="A91" s="79" t="s">
        <v>190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6"/>
      <c r="Q91" s="16">
        <f>(Q10/B10)^(1/15)-1</f>
        <v>0.13127515111181109</v>
      </c>
    </row>
    <row r="92" spans="1:19">
      <c r="A92" s="10" t="s">
        <v>50</v>
      </c>
      <c r="B92" s="10"/>
      <c r="C92" s="16">
        <f t="shared" ref="C92:O92" si="20">C10/B10-1</f>
        <v>0.30621607402783257</v>
      </c>
      <c r="D92" s="16">
        <f t="shared" si="20"/>
        <v>0.20987887719215848</v>
      </c>
      <c r="E92" s="16">
        <f t="shared" si="20"/>
        <v>9.0127539061931383E-2</v>
      </c>
      <c r="F92" s="16">
        <f t="shared" si="20"/>
        <v>9.7238371316596739E-2</v>
      </c>
      <c r="G92" s="16">
        <f t="shared" si="20"/>
        <v>0.10454803443755778</v>
      </c>
      <c r="H92" s="16">
        <f t="shared" si="20"/>
        <v>0.12004456093594129</v>
      </c>
      <c r="I92" s="16">
        <f t="shared" si="20"/>
        <v>0.10482479627912844</v>
      </c>
      <c r="J92" s="16">
        <f t="shared" si="20"/>
        <v>0.13004812936603694</v>
      </c>
      <c r="K92" s="16">
        <f t="shared" si="20"/>
        <v>0.103392981109655</v>
      </c>
      <c r="L92" s="16">
        <f t="shared" si="20"/>
        <v>9.4700342956932859E-2</v>
      </c>
      <c r="M92" s="16">
        <f t="shared" si="20"/>
        <v>0.204998523475864</v>
      </c>
      <c r="N92" s="16">
        <f t="shared" si="20"/>
        <v>0.13890075923709588</v>
      </c>
      <c r="O92" s="16">
        <f t="shared" si="20"/>
        <v>0.13135326134319958</v>
      </c>
      <c r="P92" s="16">
        <f>P10/O10-1</f>
        <v>4.9395051307228988E-2</v>
      </c>
      <c r="Q92" s="16">
        <f>Q10/P10-1</f>
        <v>0.106988540459799</v>
      </c>
    </row>
    <row r="93" spans="1:19">
      <c r="A93" s="10" t="s">
        <v>51</v>
      </c>
      <c r="B93" s="16">
        <f t="shared" ref="B93:Q93" si="21">B12/B10</f>
        <v>0.52167964526029531</v>
      </c>
      <c r="C93" s="16">
        <f t="shared" si="21"/>
        <v>0.52506649131356309</v>
      </c>
      <c r="D93" s="16">
        <f t="shared" si="21"/>
        <v>0.51713251115396597</v>
      </c>
      <c r="E93" s="16">
        <f t="shared" si="21"/>
        <v>0.52213157955652267</v>
      </c>
      <c r="F93" s="16">
        <f t="shared" si="21"/>
        <v>0.54356279669450724</v>
      </c>
      <c r="G93" s="16">
        <f t="shared" si="21"/>
        <v>0.59954550196065182</v>
      </c>
      <c r="H93" s="16">
        <f t="shared" si="21"/>
        <v>0.63684805467842287</v>
      </c>
      <c r="I93" s="16">
        <f t="shared" si="21"/>
        <v>0.63450918583752958</v>
      </c>
      <c r="J93" s="16">
        <f t="shared" si="21"/>
        <v>0.60290640087434721</v>
      </c>
      <c r="K93" s="16">
        <f t="shared" si="21"/>
        <v>0.59954618373226742</v>
      </c>
      <c r="L93" s="16">
        <f t="shared" si="21"/>
        <v>0.59232320526207982</v>
      </c>
      <c r="M93" s="16">
        <f t="shared" si="21"/>
        <v>0.56096652946789882</v>
      </c>
      <c r="N93" s="16">
        <f t="shared" si="21"/>
        <v>0.50301724752616439</v>
      </c>
      <c r="O93" s="16">
        <f t="shared" si="21"/>
        <v>0.53139939106672851</v>
      </c>
      <c r="P93" s="16">
        <f t="shared" si="21"/>
        <v>0.54037571724725997</v>
      </c>
      <c r="Q93" s="16">
        <f t="shared" si="21"/>
        <v>0.55847642182147517</v>
      </c>
    </row>
    <row r="94" spans="1:19">
      <c r="A94" s="79" t="s">
        <v>191</v>
      </c>
      <c r="B94" s="16">
        <f t="shared" ref="B94" si="22">B19/B10</f>
        <v>0.26674039182724385</v>
      </c>
      <c r="C94" s="16">
        <f>C19/C10</f>
        <v>0.26797496521315384</v>
      </c>
      <c r="D94" s="16">
        <f t="shared" ref="D94:Q94" si="23">D19/D10</f>
        <v>0.26720166234613252</v>
      </c>
      <c r="E94" s="16">
        <f t="shared" si="23"/>
        <v>0.25503421431712925</v>
      </c>
      <c r="F94" s="16">
        <f t="shared" si="23"/>
        <v>0.30326382721664091</v>
      </c>
      <c r="G94" s="16">
        <f t="shared" si="23"/>
        <v>0.26893141905938667</v>
      </c>
      <c r="H94" s="16">
        <f t="shared" si="23"/>
        <v>0.3559193583772246</v>
      </c>
      <c r="I94" s="16">
        <f t="shared" si="23"/>
        <v>0.35582397979249314</v>
      </c>
      <c r="J94" s="16">
        <f t="shared" si="23"/>
        <v>0.33715715793015466</v>
      </c>
      <c r="K94" s="16">
        <f t="shared" si="23"/>
        <v>0.33396797148365592</v>
      </c>
      <c r="L94" s="16">
        <f t="shared" si="23"/>
        <v>0.35513841272133184</v>
      </c>
      <c r="M94" s="16">
        <f t="shared" si="23"/>
        <v>0.32437336592225147</v>
      </c>
      <c r="N94" s="16">
        <f t="shared" si="23"/>
        <v>0.25110258990183881</v>
      </c>
      <c r="O94" s="16">
        <f t="shared" si="23"/>
        <v>0.27357809711363834</v>
      </c>
      <c r="P94" s="16">
        <f t="shared" si="23"/>
        <v>0.25762297721691846</v>
      </c>
      <c r="Q94" s="16">
        <f t="shared" si="23"/>
        <v>0.29168723791625206</v>
      </c>
    </row>
    <row r="95" spans="1:19">
      <c r="A95" s="10" t="s">
        <v>52</v>
      </c>
      <c r="B95" s="15">
        <f>B27/B10</f>
        <v>0.16146500381151924</v>
      </c>
      <c r="C95" s="15">
        <f t="shared" ref="C95:Q95" si="24">C27/C10</f>
        <v>0.1675475420230973</v>
      </c>
      <c r="D95" s="15">
        <f t="shared" si="24"/>
        <v>0.16571488745097546</v>
      </c>
      <c r="E95" s="15">
        <f t="shared" si="24"/>
        <v>0.15477148611039393</v>
      </c>
      <c r="F95" s="15">
        <f t="shared" si="24"/>
        <v>0.19672542169618076</v>
      </c>
      <c r="G95" s="15">
        <f t="shared" si="24"/>
        <v>0.14305375374095888</v>
      </c>
      <c r="H95" s="15">
        <f t="shared" si="24"/>
        <v>0.23742134910128015</v>
      </c>
      <c r="I95" s="15">
        <f t="shared" si="24"/>
        <v>0.24191009618452708</v>
      </c>
      <c r="J95" s="15">
        <f t="shared" si="24"/>
        <v>0.25575287555129345</v>
      </c>
      <c r="K95" s="15">
        <f t="shared" si="24"/>
        <v>0.25751859339809691</v>
      </c>
      <c r="L95" s="15">
        <f t="shared" si="24"/>
        <v>0.30956687610549039</v>
      </c>
      <c r="M95" s="15">
        <f t="shared" si="24"/>
        <v>0.24715466550401419</v>
      </c>
      <c r="N95" s="15">
        <f t="shared" si="24"/>
        <v>0.19285824070479557</v>
      </c>
      <c r="O95" s="15">
        <f t="shared" si="24"/>
        <v>0.19618049063399901</v>
      </c>
      <c r="P95" s="15">
        <f t="shared" si="24"/>
        <v>0.18560950385234498</v>
      </c>
      <c r="Q95" s="15">
        <f t="shared" si="24"/>
        <v>0.21449342039508132</v>
      </c>
    </row>
    <row r="96" spans="1:19">
      <c r="A96" s="10" t="s">
        <v>53</v>
      </c>
      <c r="B96" s="10"/>
      <c r="C96" s="37">
        <f>C27/AVERAGE(B82:C82)</f>
        <v>0.31575453263965264</v>
      </c>
      <c r="D96" s="37">
        <f t="shared" ref="D96:Q96" si="25">D27/AVERAGE(C82:D82)</f>
        <v>0.42066822497543971</v>
      </c>
      <c r="E96" s="37">
        <f t="shared" si="25"/>
        <v>0.42486478692178536</v>
      </c>
      <c r="F96" s="37">
        <f t="shared" si="25"/>
        <v>0.38677226752980842</v>
      </c>
      <c r="G96" s="37">
        <f t="shared" si="25"/>
        <v>0.12316208558381928</v>
      </c>
      <c r="H96" s="37">
        <f t="shared" si="25"/>
        <v>0.17790402130746583</v>
      </c>
      <c r="I96" s="37">
        <f t="shared" si="25"/>
        <v>0.22560966410566979</v>
      </c>
      <c r="J96" s="37">
        <f t="shared" si="25"/>
        <v>0.25944133801342983</v>
      </c>
      <c r="K96" s="37">
        <f t="shared" si="25"/>
        <v>0.27801688523861301</v>
      </c>
      <c r="L96" s="37">
        <f t="shared" si="25"/>
        <v>0.30509311850303161</v>
      </c>
      <c r="M96" s="37">
        <f t="shared" si="25"/>
        <v>0.23355952786074061</v>
      </c>
      <c r="N96" s="37">
        <f t="shared" si="25"/>
        <v>0.17909633849107623</v>
      </c>
      <c r="O96" s="37">
        <f t="shared" si="25"/>
        <v>0.18365723654817476</v>
      </c>
      <c r="P96" s="37">
        <f t="shared" si="25"/>
        <v>0.19606269695714126</v>
      </c>
      <c r="Q96" s="37">
        <f t="shared" si="25"/>
        <v>0.25036642019118444</v>
      </c>
      <c r="R96" s="52" t="s">
        <v>92</v>
      </c>
      <c r="S96" s="23"/>
    </row>
    <row r="97" spans="1:22">
      <c r="A97" s="10" t="s">
        <v>54</v>
      </c>
      <c r="B97" s="10"/>
      <c r="C97" s="37">
        <f>C27/AVERAGE(B53:C53)</f>
        <v>0.23347801008782876</v>
      </c>
      <c r="D97" s="37">
        <f t="shared" ref="D97:Q97" si="26">D27/AVERAGE(C53:D53)</f>
        <v>0.28389707214958987</v>
      </c>
      <c r="E97" s="37">
        <f t="shared" si="26"/>
        <v>0.2822292410933529</v>
      </c>
      <c r="F97" s="37">
        <f t="shared" si="26"/>
        <v>0.28868506845302594</v>
      </c>
      <c r="G97" s="37">
        <f t="shared" si="26"/>
        <v>0.10371907253008994</v>
      </c>
      <c r="H97" s="37">
        <f t="shared" si="26"/>
        <v>0.14889660894040649</v>
      </c>
      <c r="I97" s="37">
        <f t="shared" si="26"/>
        <v>0.18223658091809219</v>
      </c>
      <c r="J97" s="37">
        <f t="shared" si="26"/>
        <v>0.20899509256535509</v>
      </c>
      <c r="K97" s="37">
        <f t="shared" si="26"/>
        <v>0.22654790197609453</v>
      </c>
      <c r="L97" s="37">
        <f t="shared" si="26"/>
        <v>0.25362243059119943</v>
      </c>
      <c r="M97" s="37">
        <f t="shared" si="26"/>
        <v>0.19554824201320722</v>
      </c>
      <c r="N97" s="37">
        <f t="shared" si="26"/>
        <v>0.15121709436560285</v>
      </c>
      <c r="O97" s="37">
        <f t="shared" si="26"/>
        <v>0.15581346598569593</v>
      </c>
      <c r="P97" s="37">
        <f t="shared" si="26"/>
        <v>0.15980111241139425</v>
      </c>
      <c r="Q97" s="37">
        <f t="shared" si="26"/>
        <v>0.20604302475749367</v>
      </c>
      <c r="R97" s="52" t="s">
        <v>93</v>
      </c>
      <c r="S97" s="23"/>
    </row>
    <row r="98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R98" s="52"/>
      <c r="S98" s="20"/>
      <c r="V98" s="24"/>
    </row>
    <row r="99" spans="1:22">
      <c r="R99" s="52"/>
    </row>
    <row r="100" spans="1:22">
      <c r="A100" s="4" t="s">
        <v>35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R100" s="52"/>
    </row>
    <row r="101" spans="1:22">
      <c r="A101" s="10" t="s">
        <v>38</v>
      </c>
      <c r="B101" s="38">
        <f>B43/B66</f>
        <v>6.9713973019544531</v>
      </c>
      <c r="C101" s="38">
        <f t="shared" ref="C101:Q101" si="27">C43/C66</f>
        <v>4.4446503062873468</v>
      </c>
      <c r="D101" s="38">
        <f t="shared" si="27"/>
        <v>2.8940650505120518</v>
      </c>
      <c r="E101" s="38">
        <f t="shared" si="27"/>
        <v>3.7436411045080282</v>
      </c>
      <c r="F101" s="38">
        <f t="shared" si="27"/>
        <v>4.7606208323494021</v>
      </c>
      <c r="G101" s="38">
        <f t="shared" si="27"/>
        <v>8.7734189340372488</v>
      </c>
      <c r="H101" s="38">
        <f t="shared" si="27"/>
        <v>3.0435688042006932</v>
      </c>
      <c r="I101" s="38">
        <f t="shared" si="27"/>
        <v>3.7233394782912854</v>
      </c>
      <c r="J101" s="38">
        <f t="shared" si="27"/>
        <v>3.0012226667442965</v>
      </c>
      <c r="K101" s="38">
        <f t="shared" si="27"/>
        <v>4.0150228757825692</v>
      </c>
      <c r="L101" s="38">
        <f t="shared" si="27"/>
        <v>4.1880070081121294</v>
      </c>
      <c r="M101" s="38">
        <f t="shared" si="27"/>
        <v>4.851545370520042</v>
      </c>
      <c r="N101" s="38">
        <f t="shared" si="27"/>
        <v>4.7554906395150391</v>
      </c>
      <c r="O101" s="38">
        <f t="shared" si="27"/>
        <v>4.811094879954962</v>
      </c>
      <c r="P101" s="38">
        <f t="shared" si="27"/>
        <v>3.3179416483905975</v>
      </c>
      <c r="Q101" s="38">
        <f t="shared" si="27"/>
        <v>3.7029686830872093</v>
      </c>
      <c r="R101" s="52"/>
    </row>
    <row r="102" spans="1:22">
      <c r="A102" s="10" t="s">
        <v>39</v>
      </c>
      <c r="B102" s="38">
        <f>(B43-B38)/B66</f>
        <v>5.7819519692006764</v>
      </c>
      <c r="C102" s="38">
        <f t="shared" ref="C102:Q102" si="28">(C43-C38)/C66</f>
        <v>3.8598368972903905</v>
      </c>
      <c r="D102" s="38">
        <f t="shared" si="28"/>
        <v>2.19016791141763</v>
      </c>
      <c r="E102" s="38">
        <f t="shared" si="28"/>
        <v>3.0428841760175183</v>
      </c>
      <c r="F102" s="38">
        <f t="shared" si="28"/>
        <v>4.269855727602919</v>
      </c>
      <c r="G102" s="38">
        <f t="shared" si="28"/>
        <v>8.3928930941778361</v>
      </c>
      <c r="H102" s="38">
        <f t="shared" si="28"/>
        <v>2.6993809885058937</v>
      </c>
      <c r="I102" s="38">
        <f t="shared" si="28"/>
        <v>3.2669380441901592</v>
      </c>
      <c r="J102" s="38">
        <f t="shared" si="28"/>
        <v>2.5392625739214334</v>
      </c>
      <c r="K102" s="38">
        <f t="shared" si="28"/>
        <v>3.3817148234368801</v>
      </c>
      <c r="L102" s="38">
        <f t="shared" si="28"/>
        <v>3.7438865688517682</v>
      </c>
      <c r="M102" s="38">
        <f t="shared" si="28"/>
        <v>4.2367160721020936</v>
      </c>
      <c r="N102" s="38">
        <f t="shared" si="28"/>
        <v>3.8217066642181763</v>
      </c>
      <c r="O102" s="38">
        <f t="shared" si="28"/>
        <v>3.9748934525505537</v>
      </c>
      <c r="P102" s="38">
        <f t="shared" si="28"/>
        <v>2.6463295851825799</v>
      </c>
      <c r="Q102" s="38">
        <f t="shared" si="28"/>
        <v>3.1506589398941829</v>
      </c>
      <c r="R102" s="52"/>
    </row>
    <row r="103" spans="1:22">
      <c r="A103" s="10" t="s">
        <v>40</v>
      </c>
      <c r="B103" s="92">
        <f>B43-B66</f>
        <v>769319</v>
      </c>
      <c r="C103" s="92">
        <f t="shared" ref="C103:Q103" si="29">C43-C66</f>
        <v>916587</v>
      </c>
      <c r="D103" s="92">
        <f t="shared" si="29"/>
        <v>546523</v>
      </c>
      <c r="E103" s="92">
        <f t="shared" si="29"/>
        <v>867029</v>
      </c>
      <c r="F103" s="92">
        <f t="shared" si="29"/>
        <v>1337713</v>
      </c>
      <c r="G103" s="92">
        <f t="shared" si="29"/>
        <v>3189255</v>
      </c>
      <c r="H103" s="92">
        <f t="shared" si="29"/>
        <v>961681</v>
      </c>
      <c r="I103" s="92">
        <f t="shared" si="29"/>
        <v>1526026</v>
      </c>
      <c r="J103" s="92">
        <f t="shared" si="29"/>
        <v>1203025</v>
      </c>
      <c r="K103" s="92">
        <f t="shared" si="29"/>
        <v>1717351</v>
      </c>
      <c r="L103" s="92">
        <f t="shared" si="29"/>
        <v>2390967</v>
      </c>
      <c r="M103" s="92">
        <f t="shared" si="29"/>
        <v>3717034</v>
      </c>
      <c r="N103" s="92">
        <f t="shared" si="29"/>
        <v>3762919</v>
      </c>
      <c r="O103" s="92">
        <f t="shared" si="29"/>
        <v>4427307</v>
      </c>
      <c r="P103" s="92">
        <f t="shared" si="29"/>
        <v>2543985</v>
      </c>
      <c r="Q103" s="92">
        <f t="shared" si="29"/>
        <v>3913304</v>
      </c>
      <c r="R103" s="52"/>
    </row>
    <row r="104" spans="1:22">
      <c r="R104" s="52"/>
    </row>
    <row r="105" spans="1:22">
      <c r="A105" s="4" t="s">
        <v>36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R105" s="52"/>
    </row>
    <row r="106" spans="1:22" ht="28.8">
      <c r="A106" s="11" t="s">
        <v>46</v>
      </c>
      <c r="C106" s="38">
        <f>C11/AVERAGE(B38:C38)</f>
        <v>5.2382096395060449</v>
      </c>
      <c r="D106" s="38">
        <f t="shared" ref="D106:Q106" si="30">D11/AVERAGE(C38:D38)</f>
        <v>5.5477741630635675</v>
      </c>
      <c r="E106" s="38">
        <f t="shared" si="30"/>
        <v>5.0570456124648162</v>
      </c>
      <c r="F106" s="38">
        <f t="shared" si="30"/>
        <v>5.681790405583528</v>
      </c>
      <c r="G106" s="38">
        <f t="shared" si="30"/>
        <v>6.5937876102983424</v>
      </c>
      <c r="H106" s="38">
        <f t="shared" si="30"/>
        <v>6.9627214768054522</v>
      </c>
      <c r="I106" s="38">
        <f t="shared" si="30"/>
        <v>5.8956563789751888</v>
      </c>
      <c r="J106" s="38">
        <f t="shared" si="30"/>
        <v>5.6680401162245762</v>
      </c>
      <c r="K106" s="38">
        <f t="shared" si="30"/>
        <v>5.2698594690775584</v>
      </c>
      <c r="L106" s="38">
        <f t="shared" si="30"/>
        <v>5.4041936190575024</v>
      </c>
      <c r="M106" s="38">
        <f t="shared" si="30"/>
        <v>5.2520049825029522</v>
      </c>
      <c r="N106" s="38">
        <f t="shared" si="30"/>
        <v>4.1026914534319436</v>
      </c>
      <c r="O106" s="38">
        <f t="shared" si="30"/>
        <v>3.5089209071454825</v>
      </c>
      <c r="P106" s="38">
        <f t="shared" si="30"/>
        <v>4.0313781633502348</v>
      </c>
      <c r="Q106" s="38">
        <f t="shared" si="30"/>
        <v>4.7661567093764035</v>
      </c>
      <c r="R106" s="52" t="s">
        <v>95</v>
      </c>
      <c r="S106" s="14" t="s">
        <v>98</v>
      </c>
      <c r="T106" s="14"/>
    </row>
    <row r="107" spans="1:22" ht="28.8">
      <c r="A107" s="11" t="s">
        <v>45</v>
      </c>
      <c r="C107" s="38">
        <f>C10/AVERAGE(B37:C37)</f>
        <v>10.632694084450771</v>
      </c>
      <c r="D107" s="38">
        <f t="shared" ref="D107:Q107" si="31">D10/AVERAGE(C37:D37)</f>
        <v>9.0490612601575133</v>
      </c>
      <c r="E107" s="38">
        <f t="shared" si="31"/>
        <v>8.4311133629829804</v>
      </c>
      <c r="F107" s="38">
        <f t="shared" si="31"/>
        <v>8.544695676289356</v>
      </c>
      <c r="G107" s="38">
        <f t="shared" si="31"/>
        <v>7.1768238193776277</v>
      </c>
      <c r="H107" s="38">
        <f t="shared" si="31"/>
        <v>5.8028079763578893</v>
      </c>
      <c r="I107" s="38">
        <f t="shared" si="31"/>
        <v>6.58964506560707</v>
      </c>
      <c r="J107" s="38">
        <f t="shared" si="31"/>
        <v>8.1520944544012135</v>
      </c>
      <c r="K107" s="38">
        <f t="shared" si="31"/>
        <v>8.1975837454092719</v>
      </c>
      <c r="L107" s="38">
        <f t="shared" si="31"/>
        <v>7.6241032808274936</v>
      </c>
      <c r="M107" s="38">
        <f t="shared" si="31"/>
        <v>7.0921589331080774</v>
      </c>
      <c r="N107" s="38">
        <f t="shared" si="31"/>
        <v>6.5985453203343054</v>
      </c>
      <c r="O107" s="38">
        <f t="shared" si="31"/>
        <v>6.4610746608740426</v>
      </c>
      <c r="P107" s="38">
        <f t="shared" si="31"/>
        <v>6.2035750804144705</v>
      </c>
      <c r="Q107" s="38">
        <f t="shared" si="31"/>
        <v>5.8416666725357942</v>
      </c>
      <c r="R107" s="52" t="s">
        <v>96</v>
      </c>
      <c r="S107" s="14" t="s">
        <v>98</v>
      </c>
      <c r="T107" s="14"/>
    </row>
    <row r="108" spans="1:22" ht="28.8">
      <c r="A108" s="11" t="s">
        <v>44</v>
      </c>
      <c r="C108" s="38">
        <f>C11/AVERAGE(B57:C57)</f>
        <v>8.1249598232221771</v>
      </c>
      <c r="D108" s="38">
        <f t="shared" ref="D108:Q108" si="32">D11/AVERAGE(C57:D57)</f>
        <v>8.2653254477190412</v>
      </c>
      <c r="E108" s="38">
        <f t="shared" si="32"/>
        <v>8.7026420111387637</v>
      </c>
      <c r="F108" s="38">
        <f t="shared" si="32"/>
        <v>9.1091463340579804</v>
      </c>
      <c r="G108" s="38">
        <f t="shared" si="32"/>
        <v>8.0047502973524622</v>
      </c>
      <c r="H108" s="38">
        <f t="shared" si="32"/>
        <v>6.5519816112628053</v>
      </c>
      <c r="I108" s="38">
        <f t="shared" si="32"/>
        <v>5.6075185573113533</v>
      </c>
      <c r="J108" s="38">
        <f t="shared" si="32"/>
        <v>6.1123900782339744</v>
      </c>
      <c r="K108" s="38">
        <f t="shared" si="32"/>
        <v>6.4354166467420928</v>
      </c>
      <c r="L108" s="38">
        <f t="shared" si="32"/>
        <v>6.5683609386085537</v>
      </c>
      <c r="M108" s="38">
        <f t="shared" si="32"/>
        <v>6.9404290341952146</v>
      </c>
      <c r="N108" s="38">
        <f t="shared" si="32"/>
        <v>7.3927625252201459</v>
      </c>
      <c r="O108" s="38">
        <f t="shared" si="32"/>
        <v>6.6342951527000604</v>
      </c>
      <c r="P108" s="38">
        <f t="shared" si="32"/>
        <v>6.6795667766405407</v>
      </c>
      <c r="Q108" s="38">
        <f t="shared" si="32"/>
        <v>7.0920388206621361</v>
      </c>
      <c r="R108" s="53" t="s">
        <v>101</v>
      </c>
      <c r="S108" s="14" t="s">
        <v>98</v>
      </c>
      <c r="T108" s="14"/>
    </row>
    <row r="109" spans="1:22" ht="28.8">
      <c r="A109" s="11" t="s">
        <v>43</v>
      </c>
      <c r="C109" s="21">
        <f>360/C106</f>
        <v>68.725771737907664</v>
      </c>
      <c r="D109" s="21">
        <f t="shared" ref="D109:Q109" si="33">360/D106</f>
        <v>64.890889466416638</v>
      </c>
      <c r="E109" s="21">
        <f t="shared" si="33"/>
        <v>71.187809560716047</v>
      </c>
      <c r="F109" s="21">
        <f t="shared" si="33"/>
        <v>63.360309744306292</v>
      </c>
      <c r="G109" s="21">
        <f t="shared" si="33"/>
        <v>54.596844981440256</v>
      </c>
      <c r="H109" s="21">
        <f t="shared" si="33"/>
        <v>51.703920830274349</v>
      </c>
      <c r="I109" s="21">
        <f t="shared" si="33"/>
        <v>61.06190335037418</v>
      </c>
      <c r="J109" s="21">
        <f t="shared" si="33"/>
        <v>63.514017653035303</v>
      </c>
      <c r="K109" s="21">
        <f t="shared" si="33"/>
        <v>68.313017095124692</v>
      </c>
      <c r="L109" s="21">
        <f t="shared" si="33"/>
        <v>66.614933767451589</v>
      </c>
      <c r="M109" s="21">
        <f t="shared" si="33"/>
        <v>68.545251042095259</v>
      </c>
      <c r="N109" s="21">
        <f t="shared" si="33"/>
        <v>87.747276168880873</v>
      </c>
      <c r="O109" s="21">
        <f t="shared" si="33"/>
        <v>102.59564393911091</v>
      </c>
      <c r="P109" s="21">
        <f t="shared" si="33"/>
        <v>89.299486531133496</v>
      </c>
      <c r="Q109" s="21">
        <f t="shared" si="33"/>
        <v>75.532556303022162</v>
      </c>
      <c r="R109" s="52" t="s">
        <v>99</v>
      </c>
      <c r="S109" s="14" t="s">
        <v>98</v>
      </c>
      <c r="T109" s="18"/>
      <c r="V109" s="19"/>
    </row>
    <row r="110" spans="1:22" ht="28.8">
      <c r="A110" s="11" t="s">
        <v>42</v>
      </c>
      <c r="C110" s="21">
        <f>360/C107</f>
        <v>33.857834819724872</v>
      </c>
      <c r="D110" s="21">
        <f t="shared" ref="D110:Q110" si="34">360/D107</f>
        <v>39.783132155935213</v>
      </c>
      <c r="E110" s="21">
        <f t="shared" si="34"/>
        <v>42.698987014050743</v>
      </c>
      <c r="F110" s="21">
        <f t="shared" si="34"/>
        <v>42.131401004597819</v>
      </c>
      <c r="G110" s="21">
        <f t="shared" si="34"/>
        <v>50.161465442134691</v>
      </c>
      <c r="H110" s="21">
        <f t="shared" si="34"/>
        <v>62.0389303707328</v>
      </c>
      <c r="I110" s="21">
        <f t="shared" si="34"/>
        <v>54.631166992426635</v>
      </c>
      <c r="J110" s="21">
        <f t="shared" si="34"/>
        <v>44.160430428482158</v>
      </c>
      <c r="K110" s="21">
        <f t="shared" si="34"/>
        <v>43.915379358168018</v>
      </c>
      <c r="L110" s="21">
        <f t="shared" si="34"/>
        <v>47.218667788158143</v>
      </c>
      <c r="M110" s="21">
        <f t="shared" si="34"/>
        <v>50.7602837719026</v>
      </c>
      <c r="N110" s="21">
        <f t="shared" si="34"/>
        <v>54.557479341789403</v>
      </c>
      <c r="O110" s="21">
        <f t="shared" si="34"/>
        <v>55.718285098921896</v>
      </c>
      <c r="P110" s="21">
        <f t="shared" si="34"/>
        <v>58.031053921885935</v>
      </c>
      <c r="Q110" s="21">
        <f t="shared" si="34"/>
        <v>61.62624815491715</v>
      </c>
      <c r="R110" s="52" t="s">
        <v>100</v>
      </c>
      <c r="S110" s="14" t="s">
        <v>98</v>
      </c>
      <c r="T110" s="18"/>
    </row>
    <row r="111" spans="1:22" ht="28.8">
      <c r="A111" s="11" t="s">
        <v>47</v>
      </c>
      <c r="C111" s="41">
        <f>360/C108</f>
        <v>44.307911402967662</v>
      </c>
      <c r="D111" s="41">
        <f t="shared" ref="D111:Q111" si="35">360/D108</f>
        <v>43.555453717717576</v>
      </c>
      <c r="E111" s="41">
        <f t="shared" si="35"/>
        <v>41.366748113874564</v>
      </c>
      <c r="F111" s="41">
        <f t="shared" si="35"/>
        <v>39.520717616974068</v>
      </c>
      <c r="G111" s="41">
        <f t="shared" si="35"/>
        <v>44.973295434220915</v>
      </c>
      <c r="H111" s="41">
        <f t="shared" si="35"/>
        <v>54.945209153389989</v>
      </c>
      <c r="I111" s="41">
        <f t="shared" si="35"/>
        <v>64.199520040930523</v>
      </c>
      <c r="J111" s="41">
        <f t="shared" si="35"/>
        <v>58.896764668529336</v>
      </c>
      <c r="K111" s="41">
        <f t="shared" si="35"/>
        <v>55.940433970541555</v>
      </c>
      <c r="L111" s="41">
        <f t="shared" si="35"/>
        <v>54.808193910894104</v>
      </c>
      <c r="M111" s="41">
        <f t="shared" si="35"/>
        <v>51.869992218967226</v>
      </c>
      <c r="N111" s="41">
        <f t="shared" si="35"/>
        <v>48.696275414213943</v>
      </c>
      <c r="O111" s="41">
        <f t="shared" si="35"/>
        <v>54.263488692311995</v>
      </c>
      <c r="P111" s="41">
        <f t="shared" si="35"/>
        <v>53.89571091032051</v>
      </c>
      <c r="Q111" s="41">
        <f t="shared" si="35"/>
        <v>50.761143460067693</v>
      </c>
      <c r="R111" s="53" t="s">
        <v>102</v>
      </c>
      <c r="S111" s="14" t="s">
        <v>98</v>
      </c>
      <c r="T111" s="18"/>
    </row>
    <row r="112" spans="1:22">
      <c r="A112" s="11" t="s">
        <v>48</v>
      </c>
      <c r="C112" s="38">
        <f>C10/AVERAGE(B53:C53)</f>
        <v>1.3935030455752231</v>
      </c>
      <c r="D112" s="38">
        <f t="shared" ref="D112:P112" si="36">D10/AVERAGE(C53:D53)</f>
        <v>1.7131657663140079</v>
      </c>
      <c r="E112" s="38">
        <f t="shared" si="36"/>
        <v>1.8235222015768919</v>
      </c>
      <c r="F112" s="38">
        <f t="shared" si="36"/>
        <v>1.4674517709199066</v>
      </c>
      <c r="G112" s="38">
        <f t="shared" si="36"/>
        <v>0.72503565839945716</v>
      </c>
      <c r="H112" s="38">
        <f t="shared" si="36"/>
        <v>0.62714077526738998</v>
      </c>
      <c r="I112" s="38">
        <f t="shared" si="36"/>
        <v>0.75332358505237251</v>
      </c>
      <c r="J112" s="38">
        <f t="shared" si="36"/>
        <v>0.81717592466888744</v>
      </c>
      <c r="K112" s="38">
        <f t="shared" si="36"/>
        <v>0.87973415428638624</v>
      </c>
      <c r="L112" s="38">
        <f t="shared" si="36"/>
        <v>0.81928155163724015</v>
      </c>
      <c r="M112" s="38">
        <f t="shared" si="36"/>
        <v>0.79119785829020173</v>
      </c>
      <c r="N112" s="38">
        <f t="shared" si="36"/>
        <v>0.78408417401809638</v>
      </c>
      <c r="O112" s="38">
        <f t="shared" si="36"/>
        <v>0.79423527529241844</v>
      </c>
      <c r="P112" s="38">
        <f t="shared" si="36"/>
        <v>0.86095328684525929</v>
      </c>
      <c r="Q112" s="38">
        <f>Q10/AVERAGE(P53:Q53)</f>
        <v>0.96060300767257745</v>
      </c>
      <c r="R112" s="52" t="s">
        <v>97</v>
      </c>
      <c r="S112" s="14" t="s">
        <v>98</v>
      </c>
      <c r="T112" s="18"/>
    </row>
    <row r="113" spans="1:18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8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8">
      <c r="A115" s="4" t="s">
        <v>37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8">
      <c r="A116" s="10" t="s">
        <v>41</v>
      </c>
      <c r="B116" s="57">
        <v>0</v>
      </c>
      <c r="C116" s="57">
        <v>0</v>
      </c>
      <c r="D116" s="57">
        <v>0</v>
      </c>
      <c r="E116" s="57">
        <v>0</v>
      </c>
      <c r="F116" s="57">
        <v>0</v>
      </c>
      <c r="G116" s="57">
        <v>0</v>
      </c>
      <c r="H116" s="57">
        <v>0</v>
      </c>
      <c r="I116" s="57">
        <v>0</v>
      </c>
      <c r="J116" s="57">
        <v>0</v>
      </c>
      <c r="K116" s="57">
        <v>0</v>
      </c>
      <c r="L116" s="57">
        <v>0</v>
      </c>
      <c r="M116" s="57">
        <v>0</v>
      </c>
      <c r="N116" s="57">
        <v>0</v>
      </c>
      <c r="O116" s="57">
        <v>0</v>
      </c>
      <c r="P116" s="57">
        <v>0</v>
      </c>
      <c r="Q116" s="57">
        <v>0</v>
      </c>
    </row>
    <row r="117" spans="1:18" ht="28.8">
      <c r="A117" s="11" t="s">
        <v>49</v>
      </c>
      <c r="B117" s="57">
        <v>0</v>
      </c>
      <c r="C117" s="57">
        <v>0</v>
      </c>
      <c r="D117" s="57">
        <v>0</v>
      </c>
      <c r="E117" s="57">
        <v>0</v>
      </c>
      <c r="F117" s="57">
        <v>0</v>
      </c>
      <c r="G117" s="57">
        <v>0</v>
      </c>
      <c r="H117" s="57">
        <v>0</v>
      </c>
      <c r="I117" s="57">
        <v>0</v>
      </c>
      <c r="J117" s="57">
        <v>0</v>
      </c>
      <c r="K117" s="57">
        <v>0</v>
      </c>
      <c r="L117" s="57">
        <v>0</v>
      </c>
      <c r="M117" s="57">
        <v>0</v>
      </c>
      <c r="N117" s="57">
        <v>0</v>
      </c>
      <c r="O117" s="57">
        <v>0</v>
      </c>
      <c r="P117" s="57">
        <v>0</v>
      </c>
      <c r="Q117" s="57">
        <v>0</v>
      </c>
      <c r="R117" s="22"/>
    </row>
    <row r="118" spans="1:18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FC5C-0AE1-4F68-81B6-C3A97C42F945}">
  <dimension ref="A1:V120"/>
  <sheetViews>
    <sheetView topLeftCell="A79" zoomScale="70" zoomScaleNormal="70" workbookViewId="0">
      <selection activeCell="A110" sqref="A110"/>
    </sheetView>
  </sheetViews>
  <sheetFormatPr defaultColWidth="9.109375" defaultRowHeight="14.4"/>
  <cols>
    <col min="1" max="1" width="25.6640625" style="26" customWidth="1"/>
    <col min="2" max="2" width="14" style="26" customWidth="1"/>
    <col min="3" max="3" width="12.77734375" style="26" bestFit="1" customWidth="1"/>
    <col min="4" max="6" width="12.88671875" style="26" bestFit="1" customWidth="1"/>
    <col min="7" max="13" width="13.77734375" style="26" bestFit="1" customWidth="1"/>
    <col min="14" max="14" width="15" style="26" bestFit="1" customWidth="1"/>
    <col min="15" max="15" width="15.6640625" style="26" customWidth="1"/>
    <col min="16" max="16" width="12.6640625" style="26" customWidth="1"/>
    <col min="17" max="17" width="14.109375" style="26" customWidth="1"/>
    <col min="18" max="19" width="12.6640625" style="26" customWidth="1"/>
    <col min="20" max="16384" width="9.109375" style="26"/>
  </cols>
  <sheetData>
    <row r="1" spans="1:19">
      <c r="A1" s="25" t="s">
        <v>65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9">
      <c r="A2" s="25" t="s">
        <v>62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9">
      <c r="A3" s="25" t="s">
        <v>63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9">
      <c r="A4" s="25" t="s">
        <v>64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6" spans="1:19">
      <c r="A6" s="47" t="s">
        <v>106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>
      <c r="A7" s="47" t="s">
        <v>107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</row>
    <row r="8" spans="1:19">
      <c r="A8" s="47" t="s">
        <v>32</v>
      </c>
      <c r="B8" s="47">
        <v>2010</v>
      </c>
      <c r="C8" s="47">
        <f>B8+1</f>
        <v>2011</v>
      </c>
      <c r="D8" s="47">
        <f t="shared" ref="D8:I8" si="0">C8+1</f>
        <v>2012</v>
      </c>
      <c r="E8" s="47">
        <f t="shared" si="0"/>
        <v>2013</v>
      </c>
      <c r="F8" s="47">
        <f t="shared" si="0"/>
        <v>2014</v>
      </c>
      <c r="G8" s="47">
        <f t="shared" si="0"/>
        <v>2015</v>
      </c>
      <c r="H8" s="47">
        <f t="shared" si="0"/>
        <v>2016</v>
      </c>
      <c r="I8" s="47">
        <f t="shared" si="0"/>
        <v>2017</v>
      </c>
      <c r="J8" s="47">
        <f>I8+1</f>
        <v>2018</v>
      </c>
      <c r="K8" s="47">
        <f t="shared" ref="K8:N8" si="1">J8+1</f>
        <v>2019</v>
      </c>
      <c r="L8" s="47">
        <f t="shared" si="1"/>
        <v>2020</v>
      </c>
      <c r="M8" s="47">
        <f t="shared" si="1"/>
        <v>2021</v>
      </c>
      <c r="N8" s="47">
        <f t="shared" si="1"/>
        <v>2022</v>
      </c>
      <c r="O8" s="48" t="s">
        <v>122</v>
      </c>
      <c r="P8" s="48" t="s">
        <v>123</v>
      </c>
      <c r="Q8" s="48" t="s">
        <v>108</v>
      </c>
      <c r="R8" s="48"/>
      <c r="S8" s="48"/>
    </row>
    <row r="9" spans="1:19">
      <c r="A9" s="67" t="s">
        <v>142</v>
      </c>
      <c r="B9" s="57">
        <v>1303942</v>
      </c>
      <c r="C9" s="57">
        <v>1703230</v>
      </c>
      <c r="D9" s="57">
        <v>2060702</v>
      </c>
      <c r="E9" s="57">
        <v>2246428</v>
      </c>
      <c r="F9" s="57">
        <v>2464867</v>
      </c>
      <c r="G9" s="57">
        <v>2722564</v>
      </c>
      <c r="H9" s="57">
        <v>3049393</v>
      </c>
      <c r="I9" s="57">
        <v>3369045</v>
      </c>
      <c r="J9" s="57">
        <v>3807183</v>
      </c>
      <c r="K9" s="57">
        <v>4200819</v>
      </c>
      <c r="L9" s="57">
        <v>4598638</v>
      </c>
      <c r="M9" s="57">
        <v>5541352</v>
      </c>
      <c r="N9" s="57">
        <v>6311050</v>
      </c>
      <c r="O9" s="57">
        <v>7140027</v>
      </c>
      <c r="P9" s="57">
        <v>7492709</v>
      </c>
      <c r="Q9" s="57">
        <v>8294343</v>
      </c>
      <c r="R9" s="57"/>
      <c r="S9" s="57"/>
    </row>
    <row r="10" spans="1:19">
      <c r="A10" s="67" t="s">
        <v>109</v>
      </c>
      <c r="B10" s="57">
        <v>623702</v>
      </c>
      <c r="C10" s="57">
        <v>808921</v>
      </c>
      <c r="D10" s="57">
        <v>995046</v>
      </c>
      <c r="E10" s="57">
        <v>1073497</v>
      </c>
      <c r="F10" s="57">
        <v>1125057</v>
      </c>
      <c r="G10" s="57">
        <v>1090263</v>
      </c>
      <c r="H10" s="57">
        <v>1107393</v>
      </c>
      <c r="I10" s="57">
        <v>1231355</v>
      </c>
      <c r="J10" s="57">
        <v>1511808</v>
      </c>
      <c r="K10" s="57">
        <v>1682234</v>
      </c>
      <c r="L10" s="57">
        <v>1874758</v>
      </c>
      <c r="M10" s="57">
        <v>2432839</v>
      </c>
      <c r="N10" s="57">
        <v>3136483</v>
      </c>
      <c r="O10" s="57">
        <v>3345821</v>
      </c>
      <c r="P10" s="57">
        <v>3443831</v>
      </c>
      <c r="Q10" s="57">
        <v>3662148</v>
      </c>
      <c r="R10" s="57"/>
      <c r="S10" s="57"/>
    </row>
    <row r="11" spans="1:19">
      <c r="A11" s="69" t="s">
        <v>143</v>
      </c>
      <c r="B11" s="58">
        <f t="shared" ref="B11:Q11" si="2">B9-B10</f>
        <v>680240</v>
      </c>
      <c r="C11" s="58">
        <f t="shared" si="2"/>
        <v>894309</v>
      </c>
      <c r="D11" s="58">
        <f t="shared" si="2"/>
        <v>1065656</v>
      </c>
      <c r="E11" s="58">
        <f t="shared" si="2"/>
        <v>1172931</v>
      </c>
      <c r="F11" s="58">
        <f t="shared" si="2"/>
        <v>1339810</v>
      </c>
      <c r="G11" s="58">
        <f t="shared" si="2"/>
        <v>1632301</v>
      </c>
      <c r="H11" s="58">
        <f t="shared" si="2"/>
        <v>1942000</v>
      </c>
      <c r="I11" s="58">
        <f t="shared" si="2"/>
        <v>2137690</v>
      </c>
      <c r="J11" s="58">
        <f t="shared" si="2"/>
        <v>2295375</v>
      </c>
      <c r="K11" s="58">
        <f t="shared" si="2"/>
        <v>2518585</v>
      </c>
      <c r="L11" s="58">
        <f t="shared" si="2"/>
        <v>2723880</v>
      </c>
      <c r="M11" s="58">
        <f t="shared" si="2"/>
        <v>3108513</v>
      </c>
      <c r="N11" s="58">
        <f t="shared" si="2"/>
        <v>3174567</v>
      </c>
      <c r="O11" s="58">
        <f t="shared" si="2"/>
        <v>3794206</v>
      </c>
      <c r="P11" s="58">
        <f t="shared" si="2"/>
        <v>4048878</v>
      </c>
      <c r="Q11" s="58">
        <f t="shared" si="2"/>
        <v>4632195</v>
      </c>
      <c r="R11" s="66"/>
      <c r="S11" s="66"/>
    </row>
    <row r="12" spans="1:19">
      <c r="A12" s="6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</row>
    <row r="13" spans="1:19">
      <c r="A13" s="67" t="s">
        <v>144</v>
      </c>
      <c r="B13" s="57">
        <v>0</v>
      </c>
      <c r="C13" s="57">
        <v>0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/>
      <c r="S13" s="57"/>
    </row>
    <row r="14" spans="1:19">
      <c r="A14" s="67" t="s">
        <v>145</v>
      </c>
      <c r="B14" s="60">
        <v>47400</v>
      </c>
      <c r="C14" s="60">
        <v>60500</v>
      </c>
      <c r="D14" s="60">
        <v>76100</v>
      </c>
      <c r="E14" s="60">
        <v>84000</v>
      </c>
      <c r="F14" s="60">
        <v>92700</v>
      </c>
      <c r="G14" s="60">
        <v>87000</v>
      </c>
      <c r="H14" s="61">
        <v>83600</v>
      </c>
      <c r="I14" s="61">
        <v>91900</v>
      </c>
      <c r="J14" s="61">
        <v>128500</v>
      </c>
      <c r="K14" s="61">
        <v>122500</v>
      </c>
      <c r="L14" s="61">
        <v>134100</v>
      </c>
      <c r="M14" s="61">
        <v>213900</v>
      </c>
      <c r="N14" s="61">
        <v>249200</v>
      </c>
      <c r="O14" s="61">
        <v>223600</v>
      </c>
      <c r="P14" s="61">
        <v>224200</v>
      </c>
      <c r="Q14" s="61">
        <v>237000</v>
      </c>
      <c r="R14" s="61"/>
      <c r="S14" s="61"/>
    </row>
    <row r="15" spans="1:19">
      <c r="A15" s="67" t="s">
        <v>146</v>
      </c>
      <c r="B15" s="60">
        <v>104900</v>
      </c>
      <c r="C15" s="60">
        <v>148800</v>
      </c>
      <c r="D15" s="60">
        <v>165400</v>
      </c>
      <c r="E15" s="60">
        <v>181800</v>
      </c>
      <c r="F15" s="60">
        <v>171500</v>
      </c>
      <c r="G15" s="60">
        <v>209700</v>
      </c>
      <c r="H15" s="61">
        <v>270600</v>
      </c>
      <c r="I15" s="61">
        <v>324000</v>
      </c>
      <c r="J15" s="61">
        <v>353900</v>
      </c>
      <c r="K15" s="61">
        <v>391600</v>
      </c>
      <c r="L15" s="61">
        <v>345700</v>
      </c>
      <c r="M15" s="61">
        <v>417600</v>
      </c>
      <c r="N15" s="61">
        <v>460700</v>
      </c>
      <c r="O15" s="61">
        <v>528900</v>
      </c>
      <c r="P15" s="61">
        <v>584100</v>
      </c>
      <c r="Q15" s="61">
        <v>599900</v>
      </c>
      <c r="R15" s="61"/>
      <c r="S15" s="61"/>
    </row>
    <row r="16" spans="1:19">
      <c r="A16" s="67" t="s">
        <v>147</v>
      </c>
      <c r="B16" s="62">
        <v>180126</v>
      </c>
      <c r="C16" s="62">
        <v>228586</v>
      </c>
      <c r="D16" s="62">
        <v>273533</v>
      </c>
      <c r="E16" s="62">
        <v>334215</v>
      </c>
      <c r="F16" s="62">
        <v>328105</v>
      </c>
      <c r="G16" s="62">
        <v>603418</v>
      </c>
      <c r="H16" s="62">
        <v>502462</v>
      </c>
      <c r="I16" s="62">
        <v>523003</v>
      </c>
      <c r="J16" s="62">
        <v>529356</v>
      </c>
      <c r="K16" s="62">
        <v>601546</v>
      </c>
      <c r="L16" s="62">
        <v>610927</v>
      </c>
      <c r="M16" s="62">
        <v>679546</v>
      </c>
      <c r="N16" s="62">
        <v>879946</v>
      </c>
      <c r="O16" s="62">
        <v>1088351</v>
      </c>
      <c r="P16" s="62">
        <v>1310284</v>
      </c>
      <c r="Q16" s="62">
        <v>1375941</v>
      </c>
      <c r="R16" s="62"/>
      <c r="S16" s="62"/>
    </row>
    <row r="17" spans="1:19">
      <c r="A17" s="75" t="s">
        <v>148</v>
      </c>
      <c r="B17" s="63">
        <f t="shared" ref="B17:Q17" si="3">B16+B15+B14+B13</f>
        <v>332426</v>
      </c>
      <c r="C17" s="63">
        <f t="shared" si="3"/>
        <v>437886</v>
      </c>
      <c r="D17" s="63">
        <f t="shared" si="3"/>
        <v>515033</v>
      </c>
      <c r="E17" s="63">
        <f t="shared" si="3"/>
        <v>600015</v>
      </c>
      <c r="F17" s="63">
        <f t="shared" si="3"/>
        <v>592305</v>
      </c>
      <c r="G17" s="63">
        <f t="shared" si="3"/>
        <v>900118</v>
      </c>
      <c r="H17" s="63">
        <f t="shared" si="3"/>
        <v>856662</v>
      </c>
      <c r="I17" s="63">
        <f t="shared" si="3"/>
        <v>938903</v>
      </c>
      <c r="J17" s="63">
        <f t="shared" si="3"/>
        <v>1011756</v>
      </c>
      <c r="K17" s="63">
        <f t="shared" si="3"/>
        <v>1115646</v>
      </c>
      <c r="L17" s="63">
        <f t="shared" si="3"/>
        <v>1090727</v>
      </c>
      <c r="M17" s="63">
        <f t="shared" si="3"/>
        <v>1311046</v>
      </c>
      <c r="N17" s="63">
        <f t="shared" si="3"/>
        <v>1589846</v>
      </c>
      <c r="O17" s="63">
        <f t="shared" si="3"/>
        <v>1840851</v>
      </c>
      <c r="P17" s="63">
        <f t="shared" si="3"/>
        <v>2118584</v>
      </c>
      <c r="Q17" s="63">
        <f t="shared" si="3"/>
        <v>2212841</v>
      </c>
      <c r="R17" s="57"/>
      <c r="S17" s="57"/>
    </row>
    <row r="18" spans="1:19">
      <c r="A18" s="69" t="s">
        <v>149</v>
      </c>
      <c r="B18" s="58">
        <f t="shared" ref="B18:Q18" si="4">B11-B17</f>
        <v>347814</v>
      </c>
      <c r="C18" s="58">
        <f t="shared" si="4"/>
        <v>456423</v>
      </c>
      <c r="D18" s="58">
        <f t="shared" si="4"/>
        <v>550623</v>
      </c>
      <c r="E18" s="58">
        <f t="shared" si="4"/>
        <v>572916</v>
      </c>
      <c r="F18" s="58">
        <f t="shared" si="4"/>
        <v>747505</v>
      </c>
      <c r="G18" s="58">
        <f t="shared" si="4"/>
        <v>732183</v>
      </c>
      <c r="H18" s="58">
        <f t="shared" si="4"/>
        <v>1085338</v>
      </c>
      <c r="I18" s="58">
        <f t="shared" si="4"/>
        <v>1198787</v>
      </c>
      <c r="J18" s="58">
        <f t="shared" si="4"/>
        <v>1283619</v>
      </c>
      <c r="K18" s="58">
        <f t="shared" si="4"/>
        <v>1402939</v>
      </c>
      <c r="L18" s="58">
        <f t="shared" si="4"/>
        <v>1633153</v>
      </c>
      <c r="M18" s="58">
        <f t="shared" si="4"/>
        <v>1797467</v>
      </c>
      <c r="N18" s="58">
        <f t="shared" si="4"/>
        <v>1584721</v>
      </c>
      <c r="O18" s="58">
        <f t="shared" si="4"/>
        <v>1953355</v>
      </c>
      <c r="P18" s="58">
        <f t="shared" si="4"/>
        <v>1930294</v>
      </c>
      <c r="Q18" s="58">
        <f t="shared" si="4"/>
        <v>2419354</v>
      </c>
      <c r="R18" s="66"/>
      <c r="S18" s="66"/>
    </row>
    <row r="19" spans="1:19">
      <c r="A19" s="6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</row>
    <row r="20" spans="1:19">
      <c r="A20" s="67" t="s">
        <v>150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57">
        <v>0</v>
      </c>
      <c r="O20" s="57">
        <v>0</v>
      </c>
      <c r="P20" s="57">
        <v>0</v>
      </c>
      <c r="Q20" s="57">
        <v>0</v>
      </c>
      <c r="R20" s="57"/>
      <c r="S20" s="57"/>
    </row>
    <row r="21" spans="1:19">
      <c r="A21" s="67" t="s">
        <v>151</v>
      </c>
      <c r="B21" s="57">
        <v>0</v>
      </c>
      <c r="C21" s="57">
        <v>0</v>
      </c>
      <c r="D21" s="57">
        <v>0</v>
      </c>
      <c r="E21" s="57"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7">
        <v>0</v>
      </c>
      <c r="N21" s="57">
        <v>0</v>
      </c>
      <c r="O21" s="57">
        <v>0</v>
      </c>
      <c r="P21" s="57">
        <v>0</v>
      </c>
      <c r="Q21" s="57">
        <v>0</v>
      </c>
      <c r="R21" s="57"/>
      <c r="S21" s="57"/>
    </row>
    <row r="22" spans="1:19">
      <c r="A22" s="67" t="s">
        <v>152</v>
      </c>
      <c r="B22" s="57">
        <v>0</v>
      </c>
      <c r="C22" s="57">
        <v>0</v>
      </c>
      <c r="D22" s="57">
        <v>0</v>
      </c>
      <c r="E22" s="57">
        <v>0</v>
      </c>
      <c r="F22" s="57">
        <v>0</v>
      </c>
      <c r="G22" s="64">
        <v>-2105</v>
      </c>
      <c r="H22" s="64">
        <v>-5653</v>
      </c>
      <c r="I22" s="57">
        <v>2836</v>
      </c>
      <c r="J22" s="57">
        <v>9653</v>
      </c>
      <c r="K22" s="57">
        <v>13023</v>
      </c>
      <c r="L22" s="64">
        <v>-6996</v>
      </c>
      <c r="M22" s="57">
        <v>3952</v>
      </c>
      <c r="N22" s="64">
        <v>-12757</v>
      </c>
      <c r="O22" s="57">
        <v>115127</v>
      </c>
      <c r="P22" s="57">
        <v>59165</v>
      </c>
      <c r="Q22" s="57">
        <v>63175</v>
      </c>
      <c r="R22" s="57"/>
      <c r="S22" s="57"/>
    </row>
    <row r="23" spans="1:19">
      <c r="A23" s="69" t="s">
        <v>153</v>
      </c>
      <c r="B23" s="65">
        <f t="shared" ref="B23:Q23" si="5">B18-B21+B20-B22</f>
        <v>347814</v>
      </c>
      <c r="C23" s="65">
        <f t="shared" si="5"/>
        <v>456423</v>
      </c>
      <c r="D23" s="65">
        <f t="shared" si="5"/>
        <v>550623</v>
      </c>
      <c r="E23" s="65">
        <f t="shared" si="5"/>
        <v>572916</v>
      </c>
      <c r="F23" s="65">
        <f t="shared" si="5"/>
        <v>747505</v>
      </c>
      <c r="G23" s="65">
        <f t="shared" si="5"/>
        <v>734288</v>
      </c>
      <c r="H23" s="65">
        <f t="shared" si="5"/>
        <v>1090991</v>
      </c>
      <c r="I23" s="65">
        <f t="shared" si="5"/>
        <v>1195951</v>
      </c>
      <c r="J23" s="65">
        <f t="shared" si="5"/>
        <v>1273966</v>
      </c>
      <c r="K23" s="65">
        <f t="shared" si="5"/>
        <v>1389916</v>
      </c>
      <c r="L23" s="65">
        <f t="shared" si="5"/>
        <v>1640149</v>
      </c>
      <c r="M23" s="65">
        <f t="shared" si="5"/>
        <v>1793515</v>
      </c>
      <c r="N23" s="65">
        <f t="shared" si="5"/>
        <v>1597478</v>
      </c>
      <c r="O23" s="65">
        <f t="shared" si="5"/>
        <v>1838228</v>
      </c>
      <c r="P23" s="65">
        <f t="shared" si="5"/>
        <v>1871129</v>
      </c>
      <c r="Q23" s="65">
        <f t="shared" si="5"/>
        <v>2356179</v>
      </c>
      <c r="R23" s="62"/>
      <c r="S23" s="62"/>
    </row>
    <row r="24" spans="1:19">
      <c r="A24" s="6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</row>
    <row r="25" spans="1:19">
      <c r="A25" s="67" t="s">
        <v>154</v>
      </c>
      <c r="B25" s="57">
        <v>137273</v>
      </c>
      <c r="C25" s="57">
        <v>171051</v>
      </c>
      <c r="D25" s="57">
        <v>209134</v>
      </c>
      <c r="E25" s="57">
        <v>225233</v>
      </c>
      <c r="F25" s="57">
        <v>262603</v>
      </c>
      <c r="G25" s="57">
        <v>344815</v>
      </c>
      <c r="H25" s="57">
        <v>367000</v>
      </c>
      <c r="I25" s="57">
        <v>380945</v>
      </c>
      <c r="J25" s="57">
        <v>300268</v>
      </c>
      <c r="K25" s="57">
        <v>308127</v>
      </c>
      <c r="L25" s="57">
        <v>216563</v>
      </c>
      <c r="M25" s="57">
        <v>423944</v>
      </c>
      <c r="N25" s="57">
        <v>380340</v>
      </c>
      <c r="O25" s="57">
        <v>437494</v>
      </c>
      <c r="P25" s="57">
        <v>480411</v>
      </c>
      <c r="Q25" s="57">
        <v>577097</v>
      </c>
      <c r="R25" s="57"/>
      <c r="S25" s="57"/>
    </row>
    <row r="26" spans="1:19">
      <c r="A26" s="69" t="s">
        <v>155</v>
      </c>
      <c r="B26" s="58">
        <f t="shared" ref="B26:Q26" si="6">B23-B25</f>
        <v>210541</v>
      </c>
      <c r="C26" s="58">
        <f t="shared" si="6"/>
        <v>285372</v>
      </c>
      <c r="D26" s="58">
        <f t="shared" si="6"/>
        <v>341489</v>
      </c>
      <c r="E26" s="58">
        <f t="shared" si="6"/>
        <v>347683</v>
      </c>
      <c r="F26" s="58">
        <f t="shared" si="6"/>
        <v>484902</v>
      </c>
      <c r="G26" s="58">
        <f t="shared" si="6"/>
        <v>389473</v>
      </c>
      <c r="H26" s="58">
        <f t="shared" si="6"/>
        <v>723991</v>
      </c>
      <c r="I26" s="58">
        <f t="shared" si="6"/>
        <v>815006</v>
      </c>
      <c r="J26" s="58">
        <f t="shared" si="6"/>
        <v>973698</v>
      </c>
      <c r="K26" s="58">
        <f t="shared" si="6"/>
        <v>1081789</v>
      </c>
      <c r="L26" s="58">
        <f t="shared" si="6"/>
        <v>1423586</v>
      </c>
      <c r="M26" s="58">
        <f t="shared" si="6"/>
        <v>1369571</v>
      </c>
      <c r="N26" s="58">
        <f t="shared" si="6"/>
        <v>1217138</v>
      </c>
      <c r="O26" s="58">
        <f t="shared" si="6"/>
        <v>1400734</v>
      </c>
      <c r="P26" s="58">
        <f t="shared" si="6"/>
        <v>1390718</v>
      </c>
      <c r="Q26" s="58">
        <f t="shared" si="6"/>
        <v>1779082</v>
      </c>
      <c r="R26" s="66"/>
      <c r="S26" s="66"/>
    </row>
    <row r="27" spans="1:19">
      <c r="O27" s="28"/>
    </row>
    <row r="28" spans="1:19">
      <c r="A28" s="67" t="s">
        <v>192</v>
      </c>
      <c r="B28" s="57">
        <v>88514</v>
      </c>
      <c r="C28" s="57">
        <v>176212</v>
      </c>
      <c r="D28" s="57">
        <v>173712</v>
      </c>
      <c r="E28" s="57">
        <v>166679</v>
      </c>
      <c r="F28" s="57">
        <v>167257</v>
      </c>
      <c r="G28" s="57">
        <v>188816</v>
      </c>
      <c r="H28" s="57">
        <v>587874</v>
      </c>
      <c r="I28" s="57">
        <v>566782</v>
      </c>
      <c r="J28" s="57">
        <v>557166</v>
      </c>
      <c r="K28" s="57">
        <v>542191</v>
      </c>
      <c r="L28" s="57">
        <v>529639</v>
      </c>
      <c r="M28" s="57">
        <v>528763</v>
      </c>
      <c r="N28" s="57">
        <v>1053558</v>
      </c>
      <c r="O28" s="57">
        <v>1044887</v>
      </c>
      <c r="P28" s="57">
        <v>1004566</v>
      </c>
      <c r="Q28" s="57">
        <f>975887*2</f>
        <v>1951774</v>
      </c>
      <c r="R28" s="57"/>
      <c r="S28" s="57"/>
    </row>
    <row r="29" spans="1:19">
      <c r="A29" s="67" t="s">
        <v>193</v>
      </c>
      <c r="B29" s="57">
        <v>93021</v>
      </c>
      <c r="C29" s="57">
        <v>186674</v>
      </c>
      <c r="D29" s="57">
        <v>183083</v>
      </c>
      <c r="E29" s="57">
        <v>173387</v>
      </c>
      <c r="F29" s="57">
        <v>174285</v>
      </c>
      <c r="G29" s="57">
        <v>192586</v>
      </c>
      <c r="H29" s="57">
        <v>599819</v>
      </c>
      <c r="I29" s="57">
        <v>577141</v>
      </c>
      <c r="J29" s="57">
        <v>564254</v>
      </c>
      <c r="K29" s="57">
        <v>546608</v>
      </c>
      <c r="L29" s="57">
        <v>534807</v>
      </c>
      <c r="M29" s="57">
        <v>535639</v>
      </c>
      <c r="N29" s="57">
        <v>1066442</v>
      </c>
      <c r="O29" s="57">
        <v>1057981</v>
      </c>
      <c r="P29" s="57">
        <v>1013107</v>
      </c>
      <c r="Q29" s="57">
        <f>984451*2</f>
        <v>1968902</v>
      </c>
      <c r="R29" s="57"/>
      <c r="S29" s="57"/>
    </row>
    <row r="30" spans="1:19">
      <c r="O30" s="28"/>
    </row>
    <row r="31" spans="1:19">
      <c r="A31" s="47" t="s">
        <v>106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</row>
    <row r="32" spans="1:19">
      <c r="A32" s="47" t="s">
        <v>137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</row>
    <row r="33" spans="1:19">
      <c r="A33" s="47"/>
      <c r="B33" s="47">
        <v>2010</v>
      </c>
      <c r="C33" s="47">
        <f>B33+1</f>
        <v>2011</v>
      </c>
      <c r="D33" s="47">
        <f t="shared" ref="D33:I33" si="7">C33+1</f>
        <v>2012</v>
      </c>
      <c r="E33" s="47">
        <f t="shared" si="7"/>
        <v>2013</v>
      </c>
      <c r="F33" s="47">
        <f t="shared" si="7"/>
        <v>2014</v>
      </c>
      <c r="G33" s="47">
        <f t="shared" si="7"/>
        <v>2015</v>
      </c>
      <c r="H33" s="47">
        <f t="shared" si="7"/>
        <v>2016</v>
      </c>
      <c r="I33" s="47">
        <f t="shared" si="7"/>
        <v>2017</v>
      </c>
      <c r="J33" s="47">
        <f>I33+1</f>
        <v>2018</v>
      </c>
      <c r="K33" s="47">
        <f t="shared" ref="K33:N33" si="8">J33+1</f>
        <v>2019</v>
      </c>
      <c r="L33" s="47">
        <f t="shared" si="8"/>
        <v>2020</v>
      </c>
      <c r="M33" s="47">
        <f t="shared" si="8"/>
        <v>2021</v>
      </c>
      <c r="N33" s="47">
        <f t="shared" si="8"/>
        <v>2022</v>
      </c>
      <c r="O33" s="47">
        <v>2023</v>
      </c>
      <c r="P33" s="47">
        <f>O33+1</f>
        <v>2024</v>
      </c>
      <c r="Q33" s="47">
        <f t="shared" ref="Q33" si="9">P33+1</f>
        <v>2025</v>
      </c>
      <c r="R33" s="47"/>
      <c r="S33" s="47"/>
    </row>
    <row r="34" spans="1:19">
      <c r="A34" s="70" t="s">
        <v>189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/>
      <c r="P34"/>
      <c r="Q34"/>
      <c r="R34"/>
      <c r="S34"/>
    </row>
    <row r="35" spans="1:19">
      <c r="A35" s="67" t="s">
        <v>124</v>
      </c>
      <c r="B35" s="57">
        <v>354842</v>
      </c>
      <c r="C35" s="57">
        <v>359331</v>
      </c>
      <c r="D35" s="57">
        <v>222514</v>
      </c>
      <c r="E35" s="57">
        <v>211349</v>
      </c>
      <c r="F35" s="57">
        <v>370323</v>
      </c>
      <c r="G35" s="57">
        <v>2175417</v>
      </c>
      <c r="H35" s="57">
        <v>377582</v>
      </c>
      <c r="I35" s="57">
        <v>528622</v>
      </c>
      <c r="J35" s="57">
        <v>637513</v>
      </c>
      <c r="K35" s="57">
        <v>797957</v>
      </c>
      <c r="L35" s="57">
        <v>1180413</v>
      </c>
      <c r="M35" s="57">
        <v>1326462</v>
      </c>
      <c r="N35" s="57">
        <v>1307141</v>
      </c>
      <c r="O35" s="57">
        <v>2297675</v>
      </c>
      <c r="P35" s="57">
        <v>1533287</v>
      </c>
      <c r="Q35" s="57">
        <v>2088117</v>
      </c>
      <c r="R35" s="57"/>
      <c r="S35" s="57"/>
    </row>
    <row r="36" spans="1:19">
      <c r="A36" s="67" t="s">
        <v>125</v>
      </c>
      <c r="B36" s="57">
        <v>244649</v>
      </c>
      <c r="C36" s="57">
        <v>411282</v>
      </c>
      <c r="D36" s="57">
        <v>97042</v>
      </c>
      <c r="E36" s="57">
        <v>402247</v>
      </c>
      <c r="F36" s="57">
        <v>781134</v>
      </c>
      <c r="G36" s="57">
        <v>744610</v>
      </c>
      <c r="H36" s="57">
        <v>220554</v>
      </c>
      <c r="I36" s="57">
        <v>672933</v>
      </c>
      <c r="J36" s="57">
        <v>320650</v>
      </c>
      <c r="K36" s="57">
        <v>533063</v>
      </c>
      <c r="L36" s="57">
        <v>881354</v>
      </c>
      <c r="M36" s="57">
        <v>1749727</v>
      </c>
      <c r="N36" s="57">
        <v>1362314</v>
      </c>
      <c r="O36" s="57">
        <v>955605</v>
      </c>
      <c r="P36" s="57">
        <v>0</v>
      </c>
      <c r="Q36" s="57">
        <v>677084</v>
      </c>
      <c r="R36" s="57"/>
      <c r="S36" s="57"/>
    </row>
    <row r="37" spans="1:19">
      <c r="A37" s="67" t="s">
        <v>126</v>
      </c>
      <c r="B37" s="57">
        <v>101635</v>
      </c>
      <c r="C37" s="57">
        <v>218741</v>
      </c>
      <c r="D37" s="57">
        <v>236710</v>
      </c>
      <c r="E37" s="57">
        <f>291638+4542</f>
        <v>296180</v>
      </c>
      <c r="F37" s="57">
        <f>280203+552</f>
        <v>280755</v>
      </c>
      <c r="G37" s="57">
        <f>352955+125000</f>
        <v>477955</v>
      </c>
      <c r="H37" s="57">
        <f>448051+125000</f>
        <v>573051</v>
      </c>
      <c r="I37" s="57">
        <v>449476</v>
      </c>
      <c r="J37" s="57">
        <v>484562</v>
      </c>
      <c r="K37" s="57">
        <v>540330</v>
      </c>
      <c r="L37" s="57">
        <v>666012</v>
      </c>
      <c r="M37" s="57">
        <v>896658</v>
      </c>
      <c r="N37" s="57">
        <v>1016203</v>
      </c>
      <c r="O37" s="57">
        <v>1193964</v>
      </c>
      <c r="P37" s="57">
        <v>1221646</v>
      </c>
      <c r="Q37" s="57">
        <v>1618072</v>
      </c>
      <c r="R37" s="57"/>
      <c r="S37" s="57"/>
    </row>
    <row r="38" spans="1:19">
      <c r="A38" s="67" t="s">
        <v>127</v>
      </c>
      <c r="B38" s="57">
        <v>153241</v>
      </c>
      <c r="C38" s="57">
        <v>155613</v>
      </c>
      <c r="D38" s="57">
        <v>203106</v>
      </c>
      <c r="E38" s="57">
        <v>221449</v>
      </c>
      <c r="F38" s="57">
        <v>174573</v>
      </c>
      <c r="G38" s="57">
        <v>156121</v>
      </c>
      <c r="H38" s="57">
        <v>161971</v>
      </c>
      <c r="I38" s="57">
        <v>255745</v>
      </c>
      <c r="J38" s="57">
        <v>277705</v>
      </c>
      <c r="K38" s="57">
        <v>360731</v>
      </c>
      <c r="L38" s="57">
        <v>333085</v>
      </c>
      <c r="M38" s="57">
        <v>593357</v>
      </c>
      <c r="N38" s="57">
        <v>935631</v>
      </c>
      <c r="O38" s="57">
        <v>971406</v>
      </c>
      <c r="P38" s="57">
        <v>737107</v>
      </c>
      <c r="Q38" s="57">
        <v>799623</v>
      </c>
      <c r="R38" s="57"/>
      <c r="S38" s="57"/>
    </row>
    <row r="39" spans="1:19">
      <c r="A39" s="67" t="s">
        <v>128</v>
      </c>
      <c r="B39" s="57">
        <v>17022</v>
      </c>
      <c r="C39" s="57">
        <v>20912</v>
      </c>
      <c r="D39" s="57">
        <v>24983</v>
      </c>
      <c r="E39" s="57">
        <v>21376</v>
      </c>
      <c r="F39" s="57">
        <v>19673</v>
      </c>
      <c r="G39" s="57">
        <v>26967</v>
      </c>
      <c r="H39" s="57">
        <v>32562</v>
      </c>
      <c r="I39" s="57">
        <v>40877</v>
      </c>
      <c r="J39" s="57">
        <v>44909</v>
      </c>
      <c r="K39" s="57">
        <v>54868</v>
      </c>
      <c r="L39" s="57">
        <v>55358</v>
      </c>
      <c r="M39" s="57">
        <v>82668</v>
      </c>
      <c r="N39" s="57">
        <v>109823</v>
      </c>
      <c r="O39" s="57">
        <v>116195</v>
      </c>
      <c r="P39" s="57">
        <v>107262</v>
      </c>
      <c r="Q39" s="57">
        <v>103551</v>
      </c>
      <c r="R39" s="57"/>
      <c r="S39" s="57"/>
    </row>
    <row r="40" spans="1:19">
      <c r="A40" s="67" t="s">
        <v>157</v>
      </c>
      <c r="B40" s="57"/>
      <c r="C40" s="57"/>
      <c r="D40" s="57"/>
      <c r="E40" s="57">
        <v>0</v>
      </c>
      <c r="F40" s="57">
        <v>18079</v>
      </c>
      <c r="G40" s="57">
        <v>0</v>
      </c>
      <c r="H40" s="57">
        <v>0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</row>
    <row r="41" spans="1:19">
      <c r="A41" s="67" t="s">
        <v>158</v>
      </c>
      <c r="B41" s="57">
        <v>9992</v>
      </c>
      <c r="C41" s="57">
        <v>370</v>
      </c>
      <c r="D41" s="57">
        <v>33709</v>
      </c>
      <c r="E41" s="57">
        <v>9518</v>
      </c>
      <c r="F41" s="57">
        <v>8617</v>
      </c>
      <c r="G41" s="57">
        <v>18462</v>
      </c>
      <c r="H41" s="57">
        <v>66550</v>
      </c>
      <c r="I41" s="57">
        <v>138724</v>
      </c>
      <c r="J41" s="57">
        <v>38831</v>
      </c>
      <c r="K41" s="57"/>
      <c r="L41" s="57">
        <v>24733</v>
      </c>
      <c r="M41" s="57">
        <v>33238</v>
      </c>
      <c r="N41" s="57">
        <v>33785</v>
      </c>
      <c r="O41" s="57">
        <v>54151</v>
      </c>
      <c r="P41" s="57">
        <v>42202</v>
      </c>
      <c r="Q41" s="57">
        <v>74637</v>
      </c>
      <c r="R41" s="57"/>
      <c r="S41" s="57"/>
    </row>
    <row r="42" spans="1:19">
      <c r="A42" s="67" t="s">
        <v>159</v>
      </c>
      <c r="B42" s="57">
        <v>16772</v>
      </c>
      <c r="C42" s="57">
        <v>16428</v>
      </c>
      <c r="D42" s="57">
        <v>17004</v>
      </c>
      <c r="E42" s="57">
        <v>20924</v>
      </c>
      <c r="F42" s="57">
        <v>40275</v>
      </c>
      <c r="G42" s="57">
        <v>0</v>
      </c>
      <c r="H42" s="57">
        <v>0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</row>
    <row r="43" spans="1:19">
      <c r="A43" s="69" t="s">
        <v>129</v>
      </c>
      <c r="B43" s="65">
        <f t="shared" ref="B43:Q43" si="10">B42+B39+B38+B37+B36+B35+B41+B40</f>
        <v>898153</v>
      </c>
      <c r="C43" s="65">
        <f t="shared" si="10"/>
        <v>1182677</v>
      </c>
      <c r="D43" s="65">
        <f t="shared" si="10"/>
        <v>835068</v>
      </c>
      <c r="E43" s="65">
        <f t="shared" si="10"/>
        <v>1183043</v>
      </c>
      <c r="F43" s="65">
        <f t="shared" si="10"/>
        <v>1693429</v>
      </c>
      <c r="G43" s="65">
        <f t="shared" si="10"/>
        <v>3599532</v>
      </c>
      <c r="H43" s="65">
        <f t="shared" si="10"/>
        <v>1432270</v>
      </c>
      <c r="I43" s="65">
        <f t="shared" si="10"/>
        <v>2086377</v>
      </c>
      <c r="J43" s="65">
        <f t="shared" si="10"/>
        <v>1804170</v>
      </c>
      <c r="K43" s="65">
        <f t="shared" si="10"/>
        <v>2286949</v>
      </c>
      <c r="L43" s="65">
        <f t="shared" si="10"/>
        <v>3140955</v>
      </c>
      <c r="M43" s="65">
        <f t="shared" si="10"/>
        <v>4682110</v>
      </c>
      <c r="N43" s="65">
        <f t="shared" si="10"/>
        <v>4764897</v>
      </c>
      <c r="O43" s="65">
        <f t="shared" si="10"/>
        <v>5588996</v>
      </c>
      <c r="P43" s="65">
        <f t="shared" si="10"/>
        <v>3641504</v>
      </c>
      <c r="Q43" s="65">
        <f t="shared" si="10"/>
        <v>5361084</v>
      </c>
      <c r="R43" s="62"/>
      <c r="S43" s="62"/>
    </row>
    <row r="44" spans="1:19">
      <c r="A44" s="70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</row>
    <row r="45" spans="1:19">
      <c r="A45" s="70" t="s">
        <v>160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</row>
    <row r="46" spans="1:19">
      <c r="A46" s="67" t="s">
        <v>161</v>
      </c>
      <c r="B46" s="61">
        <v>44189</v>
      </c>
      <c r="C46" s="61">
        <v>23194</v>
      </c>
      <c r="D46" s="61">
        <v>21393</v>
      </c>
      <c r="E46" s="61">
        <v>9792</v>
      </c>
      <c r="F46" s="61">
        <v>42940</v>
      </c>
      <c r="G46" s="61">
        <v>15348</v>
      </c>
      <c r="H46" s="61">
        <v>2394</v>
      </c>
      <c r="I46" s="61">
        <v>2366</v>
      </c>
      <c r="J46" s="61"/>
      <c r="K46" s="61"/>
      <c r="L46" s="61">
        <v>44291</v>
      </c>
      <c r="M46" s="61">
        <v>99419</v>
      </c>
      <c r="N46" s="61">
        <v>61443</v>
      </c>
      <c r="O46" s="61">
        <v>76431</v>
      </c>
      <c r="P46" s="61">
        <v>0</v>
      </c>
      <c r="Q46" s="61">
        <v>48329</v>
      </c>
      <c r="R46" s="61"/>
      <c r="S46" s="61"/>
    </row>
    <row r="47" spans="1:19">
      <c r="A47" s="67" t="s">
        <v>162</v>
      </c>
      <c r="B47" s="57">
        <v>34551</v>
      </c>
      <c r="C47" s="57">
        <v>45151</v>
      </c>
      <c r="D47" s="57">
        <v>69137</v>
      </c>
      <c r="E47" s="57">
        <v>88143</v>
      </c>
      <c r="F47" s="57">
        <v>90156</v>
      </c>
      <c r="G47" s="57">
        <v>97354</v>
      </c>
      <c r="H47" s="57">
        <v>173343</v>
      </c>
      <c r="I47" s="57">
        <v>230276</v>
      </c>
      <c r="J47" s="57">
        <v>243051</v>
      </c>
      <c r="K47" s="57">
        <v>298640</v>
      </c>
      <c r="L47" s="57">
        <v>314656</v>
      </c>
      <c r="M47" s="57">
        <v>313753</v>
      </c>
      <c r="N47" s="57">
        <v>516897</v>
      </c>
      <c r="O47" s="57">
        <v>890796</v>
      </c>
      <c r="P47" s="57">
        <v>1047024</v>
      </c>
      <c r="Q47" s="57">
        <v>1081544</v>
      </c>
      <c r="R47" s="57"/>
      <c r="S47" s="57"/>
    </row>
    <row r="48" spans="1:19">
      <c r="A48" s="67" t="s">
        <v>163</v>
      </c>
      <c r="B48" s="57">
        <v>58475</v>
      </c>
      <c r="C48" s="57">
        <v>58576</v>
      </c>
      <c r="D48" s="57">
        <v>59503</v>
      </c>
      <c r="E48" s="57">
        <v>63611</v>
      </c>
      <c r="F48" s="57">
        <v>54106</v>
      </c>
      <c r="G48" s="57">
        <v>140468</v>
      </c>
      <c r="H48" s="57">
        <v>159556</v>
      </c>
      <c r="I48" s="57">
        <v>92333</v>
      </c>
      <c r="J48" s="57">
        <v>85687</v>
      </c>
      <c r="K48" s="57"/>
      <c r="L48" s="57">
        <v>241650</v>
      </c>
      <c r="M48" s="57">
        <v>225221</v>
      </c>
      <c r="N48" s="57">
        <v>177039</v>
      </c>
      <c r="O48" s="57">
        <v>175003</v>
      </c>
      <c r="P48" s="57">
        <v>184260</v>
      </c>
      <c r="Q48" s="57">
        <v>188646</v>
      </c>
      <c r="R48" s="57"/>
      <c r="S48" s="57"/>
    </row>
    <row r="49" spans="1:19">
      <c r="A49" s="67" t="s">
        <v>164</v>
      </c>
      <c r="B49" s="57">
        <v>43316</v>
      </c>
      <c r="C49" s="57">
        <v>48396</v>
      </c>
      <c r="D49" s="57">
        <v>54648</v>
      </c>
      <c r="E49" s="57">
        <v>65774</v>
      </c>
      <c r="F49" s="57">
        <v>50748</v>
      </c>
      <c r="G49" s="57">
        <v>427986</v>
      </c>
      <c r="H49" s="57">
        <v>1032635</v>
      </c>
      <c r="I49" s="57">
        <v>1034085</v>
      </c>
      <c r="J49" s="57">
        <v>1045878</v>
      </c>
      <c r="K49" s="57">
        <v>1052105</v>
      </c>
      <c r="L49" s="57">
        <v>1059046</v>
      </c>
      <c r="M49" s="57">
        <v>1072386</v>
      </c>
      <c r="N49" s="57">
        <v>1220410</v>
      </c>
      <c r="O49" s="57">
        <v>1427139</v>
      </c>
      <c r="P49" s="57">
        <v>1414252</v>
      </c>
      <c r="Q49" s="57">
        <v>1379268</v>
      </c>
      <c r="R49" s="57"/>
      <c r="S49" s="57"/>
    </row>
    <row r="50" spans="1:19">
      <c r="A50" s="67" t="s">
        <v>165</v>
      </c>
      <c r="B50" s="57">
        <v>0</v>
      </c>
      <c r="C50" s="57">
        <v>0</v>
      </c>
      <c r="D50" s="57">
        <v>0</v>
      </c>
      <c r="E50" s="57">
        <v>0</v>
      </c>
      <c r="F50" s="57">
        <v>0</v>
      </c>
      <c r="G50" s="57">
        <v>1279715</v>
      </c>
      <c r="H50" s="57">
        <v>1331643</v>
      </c>
      <c r="I50" s="57">
        <v>1331643</v>
      </c>
      <c r="J50" s="57">
        <v>1331643</v>
      </c>
      <c r="K50" s="57">
        <v>1331643</v>
      </c>
      <c r="L50" s="57">
        <v>1331643</v>
      </c>
      <c r="M50" s="57">
        <v>1331643</v>
      </c>
      <c r="N50" s="57">
        <v>1417941</v>
      </c>
      <c r="O50" s="57">
        <v>1417941</v>
      </c>
      <c r="P50" s="57">
        <v>1331643</v>
      </c>
      <c r="Q50" s="57">
        <v>1331643</v>
      </c>
      <c r="R50" s="57"/>
      <c r="S50" s="57"/>
    </row>
    <row r="51" spans="1:19">
      <c r="A51" s="67" t="s">
        <v>166</v>
      </c>
      <c r="B51" s="57">
        <v>3447</v>
      </c>
      <c r="C51" s="57">
        <v>4405</v>
      </c>
      <c r="D51" s="57">
        <v>3576</v>
      </c>
      <c r="E51" s="57">
        <v>10146</v>
      </c>
      <c r="F51" s="57">
        <v>7496</v>
      </c>
      <c r="G51" s="57">
        <v>10874</v>
      </c>
      <c r="H51" s="57">
        <v>21630</v>
      </c>
      <c r="I51" s="57">
        <v>13932</v>
      </c>
      <c r="J51" s="57">
        <v>16462</v>
      </c>
      <c r="K51" s="57">
        <v>53973</v>
      </c>
      <c r="L51" s="57">
        <v>70475</v>
      </c>
      <c r="M51" s="57">
        <v>80252</v>
      </c>
      <c r="N51" s="57">
        <v>134478</v>
      </c>
      <c r="O51" s="57">
        <v>110216</v>
      </c>
      <c r="P51" s="57">
        <v>100406</v>
      </c>
      <c r="Q51" s="57">
        <v>159431</v>
      </c>
      <c r="R51" s="57"/>
      <c r="S51" s="57"/>
    </row>
    <row r="52" spans="1:19">
      <c r="A52" s="67" t="s">
        <v>167</v>
      </c>
      <c r="B52" s="61">
        <f t="shared" ref="B52:Q52" si="11">B51+B50+B49+B47+B48+B46</f>
        <v>183978</v>
      </c>
      <c r="C52" s="61">
        <f t="shared" si="11"/>
        <v>179722</v>
      </c>
      <c r="D52" s="61">
        <f t="shared" si="11"/>
        <v>208257</v>
      </c>
      <c r="E52" s="61">
        <f t="shared" si="11"/>
        <v>237466</v>
      </c>
      <c r="F52" s="61">
        <f t="shared" si="11"/>
        <v>245446</v>
      </c>
      <c r="G52" s="61">
        <f t="shared" si="11"/>
        <v>1971745</v>
      </c>
      <c r="H52" s="61">
        <f t="shared" si="11"/>
        <v>2721201</v>
      </c>
      <c r="I52" s="61">
        <f t="shared" si="11"/>
        <v>2704635</v>
      </c>
      <c r="J52" s="61">
        <f t="shared" si="11"/>
        <v>2722721</v>
      </c>
      <c r="K52" s="61">
        <f t="shared" si="11"/>
        <v>2736361</v>
      </c>
      <c r="L52" s="61">
        <f t="shared" si="11"/>
        <v>3061761</v>
      </c>
      <c r="M52" s="61">
        <f t="shared" si="11"/>
        <v>3122674</v>
      </c>
      <c r="N52" s="61">
        <f t="shared" si="11"/>
        <v>3528208</v>
      </c>
      <c r="O52" s="61">
        <f t="shared" si="11"/>
        <v>4097526</v>
      </c>
      <c r="P52" s="61">
        <f t="shared" si="11"/>
        <v>4077585</v>
      </c>
      <c r="Q52" s="61">
        <f t="shared" si="11"/>
        <v>4188861</v>
      </c>
      <c r="R52" s="61"/>
      <c r="S52" s="61"/>
    </row>
    <row r="53" spans="1:19">
      <c r="A53" s="76" t="s">
        <v>168</v>
      </c>
      <c r="B53" s="80">
        <f t="shared" ref="B53:Q53" si="12">B52+B43</f>
        <v>1082131</v>
      </c>
      <c r="C53" s="80">
        <f t="shared" si="12"/>
        <v>1362399</v>
      </c>
      <c r="D53" s="80">
        <f t="shared" si="12"/>
        <v>1043325</v>
      </c>
      <c r="E53" s="80">
        <f t="shared" si="12"/>
        <v>1420509</v>
      </c>
      <c r="F53" s="80">
        <f t="shared" si="12"/>
        <v>1938875</v>
      </c>
      <c r="G53" s="80">
        <f t="shared" si="12"/>
        <v>5571277</v>
      </c>
      <c r="H53" s="80">
        <f t="shared" si="12"/>
        <v>4153471</v>
      </c>
      <c r="I53" s="80">
        <f t="shared" si="12"/>
        <v>4791012</v>
      </c>
      <c r="J53" s="80">
        <f t="shared" si="12"/>
        <v>4526891</v>
      </c>
      <c r="K53" s="80">
        <f t="shared" si="12"/>
        <v>5023310</v>
      </c>
      <c r="L53" s="80">
        <f t="shared" si="12"/>
        <v>6202716</v>
      </c>
      <c r="M53" s="80">
        <f t="shared" si="12"/>
        <v>7804784</v>
      </c>
      <c r="N53" s="80">
        <f t="shared" si="12"/>
        <v>8293105</v>
      </c>
      <c r="O53" s="80">
        <f t="shared" si="12"/>
        <v>9686522</v>
      </c>
      <c r="P53" s="80">
        <f t="shared" si="12"/>
        <v>7719089</v>
      </c>
      <c r="Q53" s="80">
        <f t="shared" si="12"/>
        <v>9549945</v>
      </c>
      <c r="R53" s="82"/>
      <c r="S53" s="82"/>
    </row>
    <row r="54" spans="1:19">
      <c r="A54" s="70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</row>
    <row r="55" spans="1:19">
      <c r="A55" s="70" t="s">
        <v>169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</row>
    <row r="56" spans="1:19">
      <c r="A56" s="67" t="s">
        <v>170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</row>
    <row r="57" spans="1:19">
      <c r="A57" s="67" t="s">
        <v>130</v>
      </c>
      <c r="B57" s="57">
        <v>85674</v>
      </c>
      <c r="C57" s="57">
        <v>113446</v>
      </c>
      <c r="D57" s="57">
        <v>127330</v>
      </c>
      <c r="E57" s="57">
        <v>119376</v>
      </c>
      <c r="F57" s="57">
        <v>127641</v>
      </c>
      <c r="G57" s="57">
        <v>144763</v>
      </c>
      <c r="H57" s="57">
        <v>193270</v>
      </c>
      <c r="I57" s="57">
        <v>245910</v>
      </c>
      <c r="J57" s="57">
        <v>248760</v>
      </c>
      <c r="K57" s="57">
        <v>274045</v>
      </c>
      <c r="L57" s="57">
        <v>296800</v>
      </c>
      <c r="M57" s="57">
        <v>404263</v>
      </c>
      <c r="N57" s="57">
        <v>444265</v>
      </c>
      <c r="O57" s="57">
        <v>564379</v>
      </c>
      <c r="P57" s="57">
        <v>466775</v>
      </c>
      <c r="Q57" s="57">
        <v>565974</v>
      </c>
      <c r="R57" s="57"/>
      <c r="S57" s="57"/>
    </row>
    <row r="58" spans="1:19">
      <c r="A58" s="67" t="s">
        <v>131</v>
      </c>
      <c r="B58" s="57">
        <v>23811</v>
      </c>
      <c r="C58" s="57">
        <v>31966</v>
      </c>
      <c r="D58" s="57">
        <v>38916</v>
      </c>
      <c r="E58" s="57">
        <v>59113</v>
      </c>
      <c r="F58" s="57">
        <v>40271</v>
      </c>
      <c r="G58" s="57">
        <v>81786</v>
      </c>
      <c r="H58" s="57">
        <v>79526</v>
      </c>
      <c r="I58" s="57">
        <v>87475</v>
      </c>
      <c r="J58" s="57">
        <v>112507</v>
      </c>
      <c r="K58" s="57">
        <v>114075</v>
      </c>
      <c r="L58" s="57">
        <v>142653</v>
      </c>
      <c r="M58" s="57">
        <v>210964</v>
      </c>
      <c r="N58" s="57">
        <v>172991</v>
      </c>
      <c r="O58" s="57">
        <v>183988</v>
      </c>
      <c r="P58" s="57">
        <v>220764</v>
      </c>
      <c r="Q58" s="57">
        <v>306085</v>
      </c>
      <c r="R58" s="57"/>
      <c r="S58" s="57"/>
    </row>
    <row r="59" spans="1:19">
      <c r="A59" s="67" t="s">
        <v>171</v>
      </c>
      <c r="B59" s="57">
        <v>407</v>
      </c>
      <c r="C59" s="57"/>
      <c r="D59" s="57"/>
      <c r="E59" s="57"/>
      <c r="F59" s="57"/>
      <c r="G59" s="57">
        <v>11018</v>
      </c>
      <c r="H59" s="57">
        <v>8184</v>
      </c>
      <c r="I59" s="57">
        <v>91</v>
      </c>
      <c r="J59" s="57">
        <v>0</v>
      </c>
      <c r="K59" s="57"/>
      <c r="L59" s="57"/>
      <c r="M59" s="57"/>
      <c r="N59" s="57"/>
      <c r="O59" s="57"/>
      <c r="P59" s="57"/>
      <c r="Q59" s="57"/>
      <c r="R59" s="57"/>
      <c r="S59" s="57"/>
    </row>
    <row r="60" spans="1:19">
      <c r="A60" s="67" t="s">
        <v>133</v>
      </c>
      <c r="B60" s="57">
        <v>10140</v>
      </c>
      <c r="C60" s="57">
        <v>11583</v>
      </c>
      <c r="D60" s="57">
        <v>12695</v>
      </c>
      <c r="E60" s="57">
        <v>13832</v>
      </c>
      <c r="F60" s="57">
        <v>49926</v>
      </c>
      <c r="G60" s="57">
        <v>32271</v>
      </c>
      <c r="H60" s="57">
        <v>41672</v>
      </c>
      <c r="I60" s="57">
        <v>43236</v>
      </c>
      <c r="J60" s="57">
        <v>44045</v>
      </c>
      <c r="K60" s="57"/>
      <c r="L60" s="57">
        <v>45429</v>
      </c>
      <c r="M60" s="57">
        <v>42530</v>
      </c>
      <c r="N60" s="57">
        <v>43311</v>
      </c>
      <c r="O60" s="57">
        <v>41914</v>
      </c>
      <c r="P60" s="57">
        <v>45809</v>
      </c>
      <c r="Q60" s="57">
        <v>45323</v>
      </c>
      <c r="R60" s="57"/>
      <c r="S60" s="57"/>
    </row>
    <row r="61" spans="1:19">
      <c r="A61" s="67" t="s">
        <v>172</v>
      </c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</row>
    <row r="62" spans="1:19">
      <c r="A62" s="67" t="s">
        <v>132</v>
      </c>
      <c r="B62" s="61">
        <v>0</v>
      </c>
      <c r="C62" s="57">
        <v>87746</v>
      </c>
      <c r="D62" s="57">
        <v>91208</v>
      </c>
      <c r="E62" s="57">
        <v>99470</v>
      </c>
      <c r="F62" s="57">
        <v>114047</v>
      </c>
      <c r="G62" s="57">
        <v>115530</v>
      </c>
      <c r="H62" s="57">
        <v>110237</v>
      </c>
      <c r="I62" s="57">
        <v>137998</v>
      </c>
      <c r="J62" s="57">
        <v>145741</v>
      </c>
      <c r="K62" s="57">
        <v>166761</v>
      </c>
      <c r="L62" s="57">
        <v>186658</v>
      </c>
      <c r="M62" s="57">
        <v>211461</v>
      </c>
      <c r="N62" s="57">
        <v>255631</v>
      </c>
      <c r="O62" s="57">
        <v>269061</v>
      </c>
      <c r="P62" s="57">
        <v>267711</v>
      </c>
      <c r="Q62" s="57">
        <v>384070</v>
      </c>
      <c r="R62" s="57"/>
      <c r="S62" s="57"/>
    </row>
    <row r="63" spans="1:19">
      <c r="A63" s="67" t="s">
        <v>134</v>
      </c>
      <c r="B63" s="57">
        <v>7603</v>
      </c>
      <c r="C63" s="57">
        <v>10353</v>
      </c>
      <c r="D63" s="57">
        <v>12926</v>
      </c>
      <c r="E63" s="57">
        <v>14864</v>
      </c>
      <c r="F63" s="57">
        <v>17983</v>
      </c>
      <c r="G63" s="57">
        <v>22159</v>
      </c>
      <c r="H63" s="57">
        <v>30043</v>
      </c>
      <c r="I63" s="57">
        <v>34996</v>
      </c>
      <c r="J63" s="57">
        <v>39903</v>
      </c>
      <c r="K63" s="57"/>
      <c r="L63" s="57">
        <v>55015</v>
      </c>
      <c r="M63" s="57">
        <v>65459</v>
      </c>
      <c r="N63" s="57">
        <v>72463</v>
      </c>
      <c r="O63" s="57">
        <v>87392</v>
      </c>
      <c r="P63" s="57">
        <v>92454</v>
      </c>
      <c r="Q63" s="57">
        <v>114023</v>
      </c>
      <c r="R63" s="57"/>
      <c r="S63" s="57"/>
    </row>
    <row r="64" spans="1:19">
      <c r="A64" s="67" t="s">
        <v>135</v>
      </c>
      <c r="B64" s="57">
        <v>925</v>
      </c>
      <c r="C64" s="57">
        <v>10996</v>
      </c>
      <c r="D64" s="57">
        <v>5470</v>
      </c>
      <c r="E64" s="57">
        <v>9359</v>
      </c>
      <c r="F64" s="57">
        <v>5848</v>
      </c>
      <c r="G64" s="57">
        <v>2750</v>
      </c>
      <c r="H64" s="57">
        <v>7657</v>
      </c>
      <c r="I64" s="57">
        <v>10645</v>
      </c>
      <c r="J64" s="57">
        <v>10189</v>
      </c>
      <c r="K64" s="57">
        <v>14717</v>
      </c>
      <c r="L64" s="57">
        <v>23433</v>
      </c>
      <c r="M64" s="57">
        <v>30399</v>
      </c>
      <c r="N64" s="57">
        <v>13317</v>
      </c>
      <c r="O64" s="57">
        <v>14955</v>
      </c>
      <c r="P64" s="57">
        <v>4006</v>
      </c>
      <c r="Q64" s="57">
        <v>32305</v>
      </c>
      <c r="R64" s="57"/>
      <c r="S64" s="57"/>
    </row>
    <row r="65" spans="1:19">
      <c r="A65" s="67" t="s">
        <v>173</v>
      </c>
      <c r="B65" s="57">
        <v>274</v>
      </c>
      <c r="C65" s="57">
        <v>0</v>
      </c>
      <c r="D65" s="57">
        <v>0</v>
      </c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</row>
    <row r="66" spans="1:19">
      <c r="A66" s="69" t="s">
        <v>174</v>
      </c>
      <c r="B66" s="81">
        <f t="shared" ref="B66:Q66" si="13">B56+B65+B64+B62+B58+B57+B61+B59+B60+B63</f>
        <v>128834</v>
      </c>
      <c r="C66" s="81">
        <f t="shared" si="13"/>
        <v>266090</v>
      </c>
      <c r="D66" s="81">
        <f t="shared" si="13"/>
        <v>288545</v>
      </c>
      <c r="E66" s="81">
        <f t="shared" si="13"/>
        <v>316014</v>
      </c>
      <c r="F66" s="81">
        <f t="shared" si="13"/>
        <v>355716</v>
      </c>
      <c r="G66" s="81">
        <f t="shared" si="13"/>
        <v>410277</v>
      </c>
      <c r="H66" s="81">
        <f t="shared" si="13"/>
        <v>470589</v>
      </c>
      <c r="I66" s="81">
        <f t="shared" si="13"/>
        <v>560351</v>
      </c>
      <c r="J66" s="81">
        <f t="shared" si="13"/>
        <v>601145</v>
      </c>
      <c r="K66" s="81">
        <f t="shared" si="13"/>
        <v>569598</v>
      </c>
      <c r="L66" s="81">
        <f t="shared" si="13"/>
        <v>749988</v>
      </c>
      <c r="M66" s="81">
        <f t="shared" si="13"/>
        <v>965076</v>
      </c>
      <c r="N66" s="81">
        <f t="shared" si="13"/>
        <v>1001978</v>
      </c>
      <c r="O66" s="81">
        <f t="shared" si="13"/>
        <v>1161689</v>
      </c>
      <c r="P66" s="81">
        <f t="shared" si="13"/>
        <v>1097519</v>
      </c>
      <c r="Q66" s="81">
        <f t="shared" si="13"/>
        <v>1447780</v>
      </c>
      <c r="R66" s="82"/>
      <c r="S66" s="82"/>
    </row>
    <row r="67" spans="1:19">
      <c r="A67" s="70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</row>
    <row r="68" spans="1:19">
      <c r="A68" s="70" t="s">
        <v>175</v>
      </c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</row>
    <row r="69" spans="1:19">
      <c r="A69" s="67" t="s">
        <v>176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>
        <v>373951</v>
      </c>
      <c r="Q69" s="57">
        <v>0</v>
      </c>
      <c r="R69" s="57"/>
      <c r="S69" s="57"/>
    </row>
    <row r="70" spans="1:19">
      <c r="A70" s="67" t="s">
        <v>133</v>
      </c>
      <c r="B70" s="57">
        <v>124899</v>
      </c>
      <c r="C70" s="57">
        <v>117151</v>
      </c>
      <c r="D70" s="57">
        <v>110383</v>
      </c>
      <c r="E70" s="57">
        <v>112216</v>
      </c>
      <c r="F70" s="57">
        <v>68009</v>
      </c>
      <c r="G70" s="57">
        <v>351590</v>
      </c>
      <c r="H70" s="57">
        <v>353173</v>
      </c>
      <c r="I70" s="57">
        <v>334354</v>
      </c>
      <c r="J70" s="57">
        <v>312224</v>
      </c>
      <c r="K70" s="57">
        <v>287469</v>
      </c>
      <c r="L70" s="57">
        <v>264436</v>
      </c>
      <c r="M70" s="57">
        <v>243249</v>
      </c>
      <c r="N70" s="57">
        <v>223800</v>
      </c>
      <c r="O70" s="57">
        <v>204251</v>
      </c>
      <c r="P70" s="57">
        <v>179008</v>
      </c>
      <c r="Q70" s="57">
        <v>159991</v>
      </c>
      <c r="R70" s="57"/>
      <c r="S70" s="57"/>
    </row>
    <row r="71" spans="1:19">
      <c r="A71" s="67" t="s">
        <v>177</v>
      </c>
      <c r="B71" s="57">
        <v>0</v>
      </c>
      <c r="C71" s="57">
        <v>0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</row>
    <row r="72" spans="1:19">
      <c r="A72" s="67" t="s">
        <v>178</v>
      </c>
      <c r="B72" s="57"/>
      <c r="C72" s="57"/>
      <c r="D72" s="57"/>
      <c r="E72" s="57"/>
      <c r="F72" s="57"/>
      <c r="G72" s="57"/>
      <c r="H72" s="57"/>
      <c r="I72" s="57">
        <v>1095</v>
      </c>
      <c r="J72" s="57">
        <v>2621</v>
      </c>
      <c r="K72" s="57"/>
      <c r="L72" s="57">
        <v>27432</v>
      </c>
      <c r="M72" s="57">
        <v>29508</v>
      </c>
      <c r="N72" s="57">
        <v>42286</v>
      </c>
      <c r="O72" s="57">
        <v>91838</v>
      </c>
      <c r="P72" s="57">
        <v>110893</v>
      </c>
      <c r="Q72" s="57">
        <v>127066</v>
      </c>
      <c r="R72" s="57"/>
      <c r="S72" s="57"/>
    </row>
    <row r="73" spans="1:19">
      <c r="A73" s="67" t="s">
        <v>179</v>
      </c>
      <c r="B73" s="82">
        <f t="shared" ref="B73:Q73" si="14">B70+B69+B71+B72</f>
        <v>124899</v>
      </c>
      <c r="C73" s="82">
        <f t="shared" si="14"/>
        <v>117151</v>
      </c>
      <c r="D73" s="82">
        <f t="shared" si="14"/>
        <v>110383</v>
      </c>
      <c r="E73" s="82">
        <f t="shared" si="14"/>
        <v>112216</v>
      </c>
      <c r="F73" s="82">
        <f t="shared" si="14"/>
        <v>68009</v>
      </c>
      <c r="G73" s="82">
        <f t="shared" si="14"/>
        <v>351590</v>
      </c>
      <c r="H73" s="82">
        <f t="shared" si="14"/>
        <v>353173</v>
      </c>
      <c r="I73" s="82">
        <f t="shared" si="14"/>
        <v>335449</v>
      </c>
      <c r="J73" s="82">
        <f t="shared" si="14"/>
        <v>314845</v>
      </c>
      <c r="K73" s="82">
        <f t="shared" si="14"/>
        <v>287469</v>
      </c>
      <c r="L73" s="82">
        <f t="shared" si="14"/>
        <v>291868</v>
      </c>
      <c r="M73" s="82">
        <f t="shared" si="14"/>
        <v>272757</v>
      </c>
      <c r="N73" s="82">
        <f t="shared" si="14"/>
        <v>266086</v>
      </c>
      <c r="O73" s="82">
        <f t="shared" si="14"/>
        <v>296089</v>
      </c>
      <c r="P73" s="82">
        <f t="shared" si="14"/>
        <v>663852</v>
      </c>
      <c r="Q73" s="82">
        <f t="shared" si="14"/>
        <v>287057</v>
      </c>
      <c r="R73" s="82"/>
      <c r="S73" s="82"/>
    </row>
    <row r="74" spans="1:19">
      <c r="A74" s="77" t="s">
        <v>180</v>
      </c>
      <c r="B74" s="80">
        <f t="shared" ref="B74:Q74" si="15">B73+B66</f>
        <v>253733</v>
      </c>
      <c r="C74" s="80">
        <f t="shared" si="15"/>
        <v>383241</v>
      </c>
      <c r="D74" s="80">
        <f t="shared" si="15"/>
        <v>398928</v>
      </c>
      <c r="E74" s="80">
        <f t="shared" si="15"/>
        <v>428230</v>
      </c>
      <c r="F74" s="80">
        <f t="shared" si="15"/>
        <v>423725</v>
      </c>
      <c r="G74" s="80">
        <f t="shared" si="15"/>
        <v>761867</v>
      </c>
      <c r="H74" s="80">
        <f t="shared" si="15"/>
        <v>823762</v>
      </c>
      <c r="I74" s="80">
        <f t="shared" si="15"/>
        <v>895800</v>
      </c>
      <c r="J74" s="80">
        <f t="shared" si="15"/>
        <v>915990</v>
      </c>
      <c r="K74" s="80">
        <f t="shared" si="15"/>
        <v>857067</v>
      </c>
      <c r="L74" s="80">
        <f t="shared" si="15"/>
        <v>1041856</v>
      </c>
      <c r="M74" s="80">
        <f t="shared" si="15"/>
        <v>1237833</v>
      </c>
      <c r="N74" s="80">
        <f t="shared" si="15"/>
        <v>1268064</v>
      </c>
      <c r="O74" s="80">
        <f t="shared" si="15"/>
        <v>1457778</v>
      </c>
      <c r="P74" s="80">
        <f t="shared" si="15"/>
        <v>1761371</v>
      </c>
      <c r="Q74" s="80">
        <f t="shared" si="15"/>
        <v>1734837</v>
      </c>
      <c r="R74" s="82"/>
      <c r="S74" s="82"/>
    </row>
    <row r="75" spans="1:19">
      <c r="A75" s="6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</row>
    <row r="76" spans="1:19">
      <c r="A76" s="70" t="s">
        <v>181</v>
      </c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</row>
    <row r="77" spans="1:19">
      <c r="A77" s="67" t="s">
        <v>182</v>
      </c>
      <c r="B77" s="57">
        <v>494</v>
      </c>
      <c r="C77" s="57">
        <v>994</v>
      </c>
      <c r="D77" s="57">
        <v>1019</v>
      </c>
      <c r="E77" s="57">
        <v>1030</v>
      </c>
      <c r="F77" s="57">
        <v>1035</v>
      </c>
      <c r="G77" s="57">
        <v>3105</v>
      </c>
      <c r="H77" s="57">
        <v>3116</v>
      </c>
      <c r="I77" s="57">
        <v>3146</v>
      </c>
      <c r="J77" s="57">
        <v>3155</v>
      </c>
      <c r="K77" s="57">
        <v>3182</v>
      </c>
      <c r="L77" s="57">
        <v>3193</v>
      </c>
      <c r="M77" s="57">
        <v>3200</v>
      </c>
      <c r="N77" s="57">
        <v>6418</v>
      </c>
      <c r="O77" s="57">
        <v>5613</v>
      </c>
      <c r="P77" s="57">
        <v>5632</v>
      </c>
      <c r="Q77" s="57">
        <v>5665</v>
      </c>
      <c r="R77" s="57"/>
      <c r="S77" s="57"/>
    </row>
    <row r="78" spans="1:19">
      <c r="A78" s="67" t="s">
        <v>136</v>
      </c>
      <c r="B78" s="57">
        <v>187040</v>
      </c>
      <c r="C78" s="57">
        <v>229301</v>
      </c>
      <c r="D78" s="57">
        <v>287953</v>
      </c>
      <c r="E78" s="57">
        <v>368069</v>
      </c>
      <c r="F78" s="57">
        <v>426145</v>
      </c>
      <c r="G78" s="57">
        <v>3989787</v>
      </c>
      <c r="H78" s="57">
        <v>4051245</v>
      </c>
      <c r="I78" s="57">
        <v>4150628</v>
      </c>
      <c r="J78" s="57">
        <v>4238170</v>
      </c>
      <c r="K78" s="57">
        <v>4397511</v>
      </c>
      <c r="L78" s="57">
        <v>4537982</v>
      </c>
      <c r="M78" s="57">
        <v>4652620</v>
      </c>
      <c r="N78" s="57">
        <v>4776804</v>
      </c>
      <c r="O78" s="57">
        <v>4975115</v>
      </c>
      <c r="P78" s="57">
        <v>5144922</v>
      </c>
      <c r="Q78" s="57">
        <v>5430847</v>
      </c>
      <c r="R78" s="57"/>
      <c r="S78" s="57"/>
    </row>
    <row r="79" spans="1:19">
      <c r="A79" s="67" t="s">
        <v>183</v>
      </c>
      <c r="B79" s="61">
        <v>882425</v>
      </c>
      <c r="C79" s="61">
        <v>1168644</v>
      </c>
      <c r="D79" s="61">
        <v>1508664</v>
      </c>
      <c r="E79" s="61">
        <v>1847325</v>
      </c>
      <c r="F79" s="61">
        <v>2330510</v>
      </c>
      <c r="G79" s="61">
        <v>1394863</v>
      </c>
      <c r="H79" s="61">
        <v>2107548</v>
      </c>
      <c r="I79" s="61">
        <v>2928226</v>
      </c>
      <c r="J79" s="61">
        <v>3914645</v>
      </c>
      <c r="K79" s="61">
        <v>5022480</v>
      </c>
      <c r="L79" s="61">
        <v>6432074</v>
      </c>
      <c r="M79" s="61">
        <v>7809549</v>
      </c>
      <c r="N79" s="61">
        <v>9001173</v>
      </c>
      <c r="O79" s="61">
        <v>5939736</v>
      </c>
      <c r="P79" s="61">
        <v>7448784</v>
      </c>
      <c r="Q79" s="61">
        <v>9354216</v>
      </c>
      <c r="R79" s="61"/>
      <c r="S79" s="61"/>
    </row>
    <row r="80" spans="1:19">
      <c r="A80" s="67" t="s">
        <v>184</v>
      </c>
      <c r="B80" s="61">
        <v>281</v>
      </c>
      <c r="C80" s="83">
        <v>-1547</v>
      </c>
      <c r="D80" s="61">
        <v>2074</v>
      </c>
      <c r="E80" s="83">
        <v>-1233</v>
      </c>
      <c r="F80" s="83">
        <v>-11453</v>
      </c>
      <c r="G80" s="83">
        <v>-21878</v>
      </c>
      <c r="H80" s="83">
        <v>-23249</v>
      </c>
      <c r="I80" s="83">
        <v>-16659</v>
      </c>
      <c r="J80" s="83">
        <v>-32864</v>
      </c>
      <c r="K80" s="83">
        <v>-32387</v>
      </c>
      <c r="L80" s="61">
        <v>3034</v>
      </c>
      <c r="M80" s="83">
        <v>-69165</v>
      </c>
      <c r="N80" s="83">
        <v>-159073</v>
      </c>
      <c r="O80" s="83">
        <v>-125337</v>
      </c>
      <c r="P80" s="83">
        <v>-269487</v>
      </c>
      <c r="Q80" s="83">
        <v>-60841</v>
      </c>
      <c r="R80" s="83"/>
      <c r="S80" s="83"/>
    </row>
    <row r="81" spans="1:22">
      <c r="A81" s="67" t="s">
        <v>185</v>
      </c>
      <c r="B81" s="83">
        <v>-241842</v>
      </c>
      <c r="C81" s="83">
        <v>-418234</v>
      </c>
      <c r="D81" s="83">
        <v>-1155313</v>
      </c>
      <c r="E81" s="83">
        <v>-1222912</v>
      </c>
      <c r="F81" s="83">
        <v>-1231087</v>
      </c>
      <c r="G81" s="83">
        <v>-556467</v>
      </c>
      <c r="H81" s="83">
        <v>-2808951</v>
      </c>
      <c r="I81" s="83">
        <v>-3170129</v>
      </c>
      <c r="J81" s="83">
        <v>-4512205</v>
      </c>
      <c r="K81" s="83">
        <v>-5219505</v>
      </c>
      <c r="L81" s="83">
        <v>-5815423</v>
      </c>
      <c r="M81" s="83">
        <v>-5829253</v>
      </c>
      <c r="N81" s="83">
        <v>-6600281</v>
      </c>
      <c r="O81" s="83">
        <v>-2566383</v>
      </c>
      <c r="P81" s="83">
        <v>-6372133</v>
      </c>
      <c r="Q81" s="83">
        <v>-6475779</v>
      </c>
      <c r="R81" s="83"/>
      <c r="S81" s="83"/>
    </row>
    <row r="82" spans="1:22">
      <c r="A82" s="69" t="s">
        <v>186</v>
      </c>
      <c r="B82" s="81">
        <f t="shared" ref="B82:Q82" si="16">B81+B80+B79+B78+B77</f>
        <v>828398</v>
      </c>
      <c r="C82" s="81">
        <f t="shared" si="16"/>
        <v>979158</v>
      </c>
      <c r="D82" s="81">
        <f t="shared" si="16"/>
        <v>644397</v>
      </c>
      <c r="E82" s="81">
        <f t="shared" si="16"/>
        <v>992279</v>
      </c>
      <c r="F82" s="81">
        <f t="shared" si="16"/>
        <v>1515150</v>
      </c>
      <c r="G82" s="81">
        <f t="shared" si="16"/>
        <v>4809410</v>
      </c>
      <c r="H82" s="81">
        <f t="shared" si="16"/>
        <v>3329709</v>
      </c>
      <c r="I82" s="81">
        <f t="shared" si="16"/>
        <v>3895212</v>
      </c>
      <c r="J82" s="81">
        <f t="shared" si="16"/>
        <v>3610901</v>
      </c>
      <c r="K82" s="81">
        <f t="shared" si="16"/>
        <v>4171281</v>
      </c>
      <c r="L82" s="81">
        <f t="shared" si="16"/>
        <v>5160860</v>
      </c>
      <c r="M82" s="81">
        <f t="shared" si="16"/>
        <v>6566951</v>
      </c>
      <c r="N82" s="81">
        <f t="shared" si="16"/>
        <v>7025041</v>
      </c>
      <c r="O82" s="81">
        <f t="shared" si="16"/>
        <v>8228744</v>
      </c>
      <c r="P82" s="81">
        <f t="shared" si="16"/>
        <v>5957718</v>
      </c>
      <c r="Q82" s="81">
        <f t="shared" si="16"/>
        <v>8254108</v>
      </c>
      <c r="R82" s="82"/>
      <c r="S82" s="82"/>
    </row>
    <row r="83" spans="1:22">
      <c r="A83" s="69" t="s">
        <v>187</v>
      </c>
      <c r="B83" s="81">
        <f t="shared" ref="B83:Q83" si="17">B82+B74</f>
        <v>1082131</v>
      </c>
      <c r="C83" s="81">
        <f t="shared" si="17"/>
        <v>1362399</v>
      </c>
      <c r="D83" s="81">
        <f t="shared" si="17"/>
        <v>1043325</v>
      </c>
      <c r="E83" s="81">
        <f t="shared" si="17"/>
        <v>1420509</v>
      </c>
      <c r="F83" s="81">
        <f t="shared" si="17"/>
        <v>1938875</v>
      </c>
      <c r="G83" s="81">
        <f t="shared" si="17"/>
        <v>5571277</v>
      </c>
      <c r="H83" s="81">
        <f t="shared" si="17"/>
        <v>4153471</v>
      </c>
      <c r="I83" s="81">
        <f t="shared" si="17"/>
        <v>4791012</v>
      </c>
      <c r="J83" s="81">
        <f t="shared" si="17"/>
        <v>4526891</v>
      </c>
      <c r="K83" s="81">
        <f t="shared" si="17"/>
        <v>5028348</v>
      </c>
      <c r="L83" s="81">
        <f t="shared" si="17"/>
        <v>6202716</v>
      </c>
      <c r="M83" s="81">
        <f t="shared" si="17"/>
        <v>7804784</v>
      </c>
      <c r="N83" s="81">
        <f t="shared" si="17"/>
        <v>8293105</v>
      </c>
      <c r="O83" s="81">
        <f t="shared" si="17"/>
        <v>9686522</v>
      </c>
      <c r="P83" s="81">
        <f t="shared" si="17"/>
        <v>7719089</v>
      </c>
      <c r="Q83" s="81">
        <f t="shared" si="17"/>
        <v>9988945</v>
      </c>
      <c r="R83" s="82"/>
      <c r="S83" s="82"/>
    </row>
    <row r="84" spans="1:2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78"/>
      <c r="P84" s="78"/>
      <c r="Q84" s="78"/>
      <c r="R84" s="78"/>
      <c r="S84" s="78"/>
    </row>
    <row r="85" spans="1:22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27"/>
      <c r="P85" s="27"/>
      <c r="Q85" s="27"/>
      <c r="R85" s="27"/>
      <c r="S85" s="27"/>
    </row>
    <row r="86" spans="1:22">
      <c r="A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P86" s="27"/>
      <c r="Q86" s="27"/>
      <c r="R86" s="27"/>
      <c r="S86" s="165" t="s">
        <v>334</v>
      </c>
    </row>
    <row r="87" spans="1:22">
      <c r="A87" s="30" t="s">
        <v>139</v>
      </c>
      <c r="B87" s="26">
        <v>1.77</v>
      </c>
      <c r="C87" s="30">
        <v>3.23</v>
      </c>
      <c r="D87" s="30">
        <v>5.54</v>
      </c>
      <c r="E87" s="26">
        <v>5.12</v>
      </c>
      <c r="F87" s="30">
        <v>5.35</v>
      </c>
      <c r="G87" s="30">
        <v>12.88</v>
      </c>
      <c r="H87" s="30">
        <v>13.36</v>
      </c>
      <c r="I87" s="30">
        <v>13.23</v>
      </c>
      <c r="J87" s="93">
        <v>14.9</v>
      </c>
      <c r="K87" s="93">
        <v>16.2</v>
      </c>
      <c r="L87" s="30">
        <v>19.670000000000002</v>
      </c>
      <c r="M87" s="30">
        <v>23.62</v>
      </c>
      <c r="N87" s="30">
        <v>24.64</v>
      </c>
      <c r="O87" s="94">
        <v>28.8</v>
      </c>
      <c r="P87" s="51">
        <v>60.66</v>
      </c>
      <c r="Q87" s="51">
        <v>93.49</v>
      </c>
      <c r="R87" s="51"/>
      <c r="S87" s="89">
        <f>(Q87/B87)^(1/15)-1</f>
        <v>0.30272513595161921</v>
      </c>
    </row>
    <row r="88" spans="1:22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27"/>
      <c r="P88" s="27"/>
      <c r="Q88" s="51">
        <v>46.68</v>
      </c>
      <c r="R88" s="51"/>
      <c r="S88" s="51"/>
    </row>
    <row r="89" spans="1:2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R89" s="95"/>
      <c r="S89" s="95"/>
    </row>
    <row r="90" spans="1:22">
      <c r="A90" s="47" t="s">
        <v>106</v>
      </c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95"/>
      <c r="S90" s="95"/>
    </row>
    <row r="91" spans="1:22">
      <c r="A91" s="47" t="s">
        <v>140</v>
      </c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95"/>
      <c r="S91" s="95"/>
    </row>
    <row r="92" spans="1:22">
      <c r="A92" s="47"/>
      <c r="B92" s="47">
        <v>2010</v>
      </c>
      <c r="C92" s="47">
        <f>B92+1</f>
        <v>2011</v>
      </c>
      <c r="D92" s="47">
        <f t="shared" ref="D92" si="18">C92+1</f>
        <v>2012</v>
      </c>
      <c r="E92" s="47">
        <f t="shared" ref="E92" si="19">D92+1</f>
        <v>2013</v>
      </c>
      <c r="F92" s="47">
        <f t="shared" ref="F92" si="20">E92+1</f>
        <v>2014</v>
      </c>
      <c r="G92" s="47">
        <f t="shared" ref="G92" si="21">F92+1</f>
        <v>2015</v>
      </c>
      <c r="H92" s="47">
        <f t="shared" ref="H92" si="22">G92+1</f>
        <v>2016</v>
      </c>
      <c r="I92" s="47">
        <f t="shared" ref="I92" si="23">H92+1</f>
        <v>2017</v>
      </c>
      <c r="J92" s="47">
        <f>I92+1</f>
        <v>2018</v>
      </c>
      <c r="K92" s="47">
        <f t="shared" ref="K92" si="24">J92+1</f>
        <v>2019</v>
      </c>
      <c r="L92" s="47">
        <f t="shared" ref="L92" si="25">K92+1</f>
        <v>2020</v>
      </c>
      <c r="M92" s="47">
        <f t="shared" ref="M92" si="26">L92+1</f>
        <v>2021</v>
      </c>
      <c r="N92" s="47">
        <f t="shared" ref="N92" si="27">M92+1</f>
        <v>2022</v>
      </c>
      <c r="O92" s="47">
        <v>2023</v>
      </c>
      <c r="P92" s="47">
        <f>O92+1</f>
        <v>2024</v>
      </c>
      <c r="Q92" s="47">
        <f t="shared" ref="Q92" si="28">P92+1</f>
        <v>2025</v>
      </c>
      <c r="R92" s="95"/>
      <c r="S92" s="95"/>
    </row>
    <row r="93" spans="1:22">
      <c r="A93" s="28" t="s">
        <v>66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R93" s="95"/>
      <c r="S93" s="95"/>
    </row>
    <row r="94" spans="1:22">
      <c r="A94" s="25" t="s">
        <v>67</v>
      </c>
      <c r="B94" s="35">
        <f t="shared" ref="B94:Q94" si="29">B53-B74</f>
        <v>828398</v>
      </c>
      <c r="C94" s="35">
        <f t="shared" si="29"/>
        <v>979158</v>
      </c>
      <c r="D94" s="35">
        <f t="shared" si="29"/>
        <v>644397</v>
      </c>
      <c r="E94" s="35">
        <f t="shared" si="29"/>
        <v>992279</v>
      </c>
      <c r="F94" s="35">
        <f t="shared" si="29"/>
        <v>1515150</v>
      </c>
      <c r="G94" s="35">
        <f t="shared" si="29"/>
        <v>4809410</v>
      </c>
      <c r="H94" s="35">
        <f t="shared" si="29"/>
        <v>3329709</v>
      </c>
      <c r="I94" s="35">
        <f t="shared" si="29"/>
        <v>3895212</v>
      </c>
      <c r="J94" s="35">
        <f t="shared" si="29"/>
        <v>3610901</v>
      </c>
      <c r="K94" s="35">
        <f t="shared" si="29"/>
        <v>4166243</v>
      </c>
      <c r="L94" s="35">
        <f t="shared" si="29"/>
        <v>5160860</v>
      </c>
      <c r="M94" s="35">
        <f t="shared" si="29"/>
        <v>6566951</v>
      </c>
      <c r="N94" s="35">
        <f t="shared" si="29"/>
        <v>7025041</v>
      </c>
      <c r="O94" s="35">
        <f t="shared" si="29"/>
        <v>8228744</v>
      </c>
      <c r="P94" s="35">
        <f t="shared" si="29"/>
        <v>5957718</v>
      </c>
      <c r="Q94" s="35">
        <f t="shared" si="29"/>
        <v>7815108</v>
      </c>
      <c r="R94" s="95"/>
      <c r="S94" s="95"/>
      <c r="U94" s="50" t="s">
        <v>138</v>
      </c>
      <c r="V94" s="24"/>
    </row>
    <row r="95" spans="1:22">
      <c r="A95" s="25" t="s">
        <v>68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R95" s="95"/>
      <c r="S95" s="95"/>
      <c r="U95" s="26" t="s">
        <v>69</v>
      </c>
    </row>
    <row r="96" spans="1:2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R96" s="95"/>
      <c r="S96" s="95"/>
    </row>
    <row r="97" spans="1:21">
      <c r="A97" s="25" t="s">
        <v>70</v>
      </c>
      <c r="B97" s="57">
        <v>0</v>
      </c>
      <c r="C97" s="57">
        <v>0</v>
      </c>
      <c r="D97" s="57">
        <v>0</v>
      </c>
      <c r="E97" s="57">
        <v>0</v>
      </c>
      <c r="F97" s="57">
        <v>0</v>
      </c>
      <c r="G97" s="57">
        <v>0</v>
      </c>
      <c r="H97" s="57">
        <v>0</v>
      </c>
      <c r="I97" s="57">
        <v>0</v>
      </c>
      <c r="J97" s="57">
        <v>0</v>
      </c>
      <c r="K97" s="57">
        <v>0</v>
      </c>
      <c r="L97" s="57">
        <v>0</v>
      </c>
      <c r="M97" s="57">
        <v>0</v>
      </c>
      <c r="N97" s="57">
        <v>0</v>
      </c>
      <c r="O97" s="57">
        <v>0</v>
      </c>
      <c r="P97" s="57">
        <v>0</v>
      </c>
      <c r="Q97" s="57">
        <v>0</v>
      </c>
      <c r="R97" s="95"/>
      <c r="S97" s="95" t="s">
        <v>335</v>
      </c>
      <c r="U97" s="26" t="s">
        <v>71</v>
      </c>
    </row>
    <row r="98" spans="1:21">
      <c r="A98" s="25" t="s">
        <v>72</v>
      </c>
      <c r="B98" s="25"/>
      <c r="C98" s="95">
        <f>C87/B87-1</f>
        <v>0.82485875706214684</v>
      </c>
      <c r="D98" s="95">
        <f t="shared" ref="D98:Q98" si="30">D87/C87-1</f>
        <v>0.71517027863777094</v>
      </c>
      <c r="E98" s="95">
        <f t="shared" si="30"/>
        <v>-7.5812274368231014E-2</v>
      </c>
      <c r="F98" s="95">
        <f t="shared" si="30"/>
        <v>4.4921875E-2</v>
      </c>
      <c r="G98" s="95">
        <f t="shared" si="30"/>
        <v>1.4074766355140191</v>
      </c>
      <c r="H98" s="95">
        <f t="shared" si="30"/>
        <v>3.7267080745341463E-2</v>
      </c>
      <c r="I98" s="95">
        <f t="shared" si="30"/>
        <v>-9.7305389221555849E-3</v>
      </c>
      <c r="J98" s="95">
        <f t="shared" si="30"/>
        <v>0.12622826908541196</v>
      </c>
      <c r="K98" s="95">
        <f t="shared" si="30"/>
        <v>8.7248322147650992E-2</v>
      </c>
      <c r="L98" s="95">
        <f t="shared" si="30"/>
        <v>0.21419753086419768</v>
      </c>
      <c r="M98" s="95">
        <f t="shared" si="30"/>
        <v>0.20081342145399073</v>
      </c>
      <c r="N98" s="95">
        <f t="shared" si="30"/>
        <v>4.3183742591024643E-2</v>
      </c>
      <c r="O98" s="95">
        <f t="shared" si="30"/>
        <v>0.16883116883116878</v>
      </c>
      <c r="P98" s="95">
        <f t="shared" si="30"/>
        <v>1.1062499999999997</v>
      </c>
      <c r="Q98" s="95">
        <f t="shared" si="30"/>
        <v>0.54121332014507084</v>
      </c>
      <c r="R98" s="95"/>
      <c r="S98" s="95">
        <f>SUM(C98:Q98)/14</f>
        <v>0.38800839919910057</v>
      </c>
      <c r="U98" s="26" t="s">
        <v>73</v>
      </c>
    </row>
    <row r="99" spans="1:21">
      <c r="A99" s="25"/>
      <c r="B99" s="2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>
        <f>Q88/P87-1</f>
        <v>-0.2304648862512364</v>
      </c>
      <c r="R99" s="95"/>
      <c r="S99" s="95"/>
    </row>
    <row r="100" spans="1:21">
      <c r="A100" s="25" t="s">
        <v>74</v>
      </c>
      <c r="B100" s="96">
        <f t="shared" ref="B100:P100" si="31">B26/B28</f>
        <v>2.3786180717174683</v>
      </c>
      <c r="C100" s="96">
        <f t="shared" si="31"/>
        <v>1.6194810796086532</v>
      </c>
      <c r="D100" s="96">
        <f t="shared" si="31"/>
        <v>1.9658342543980842</v>
      </c>
      <c r="E100" s="96">
        <f t="shared" si="31"/>
        <v>2.0859436401706275</v>
      </c>
      <c r="F100" s="96">
        <f t="shared" si="31"/>
        <v>2.8991432346628243</v>
      </c>
      <c r="G100" s="96">
        <f t="shared" si="31"/>
        <v>2.0627118464536904</v>
      </c>
      <c r="H100" s="96">
        <f t="shared" si="31"/>
        <v>1.2315411125513289</v>
      </c>
      <c r="I100" s="96">
        <f t="shared" si="31"/>
        <v>1.4379532165806252</v>
      </c>
      <c r="J100" s="96">
        <f t="shared" si="31"/>
        <v>1.7475904847029431</v>
      </c>
      <c r="K100" s="96">
        <f t="shared" si="31"/>
        <v>1.9952175524861164</v>
      </c>
      <c r="L100" s="96">
        <f t="shared" si="31"/>
        <v>2.6878420962202556</v>
      </c>
      <c r="M100" s="96">
        <f t="shared" si="31"/>
        <v>2.5901415189792023</v>
      </c>
      <c r="N100" s="96">
        <f t="shared" si="31"/>
        <v>1.1552643518439421</v>
      </c>
      <c r="O100" s="96">
        <f t="shared" si="31"/>
        <v>1.3405602711106559</v>
      </c>
      <c r="P100" s="96">
        <f t="shared" si="31"/>
        <v>1.3843968440102492</v>
      </c>
      <c r="Q100" s="96">
        <f>Q26/(Q28/2)</f>
        <v>1.8230409873274263</v>
      </c>
      <c r="R100" s="96"/>
      <c r="S100" s="96"/>
      <c r="U100" s="26" t="s">
        <v>75</v>
      </c>
    </row>
    <row r="101" spans="1:21">
      <c r="A101" s="25" t="s">
        <v>194</v>
      </c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>
        <f>Q26/Q28</f>
        <v>0.91152049366371313</v>
      </c>
      <c r="R101" s="96"/>
      <c r="S101" s="96"/>
    </row>
    <row r="102" spans="1:21">
      <c r="A102" s="25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</row>
    <row r="103" spans="1:21">
      <c r="A103" s="25" t="s">
        <v>76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Q103" s="40">
        <v>0</v>
      </c>
      <c r="R103" s="96"/>
      <c r="S103" s="96"/>
      <c r="U103" s="26" t="s">
        <v>77</v>
      </c>
    </row>
    <row r="104" spans="1:21">
      <c r="A104" s="25" t="s">
        <v>78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Q104" s="39">
        <f>1-Q103</f>
        <v>1</v>
      </c>
      <c r="R104" s="96"/>
      <c r="S104" s="96"/>
      <c r="U104" s="26" t="s">
        <v>79</v>
      </c>
    </row>
    <row r="105" spans="1:2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Q105" s="35"/>
      <c r="R105" s="96"/>
      <c r="S105" s="96"/>
    </row>
    <row r="106" spans="1:21">
      <c r="A106" s="25" t="s">
        <v>80</v>
      </c>
      <c r="B106" s="54">
        <f t="shared" ref="B106:P106" si="32">B87/B100</f>
        <v>0.74412955196375052</v>
      </c>
      <c r="C106" s="54">
        <f t="shared" si="32"/>
        <v>1.9944660303043047</v>
      </c>
      <c r="D106" s="54">
        <f t="shared" si="32"/>
        <v>2.8181419606488056</v>
      </c>
      <c r="E106" s="54">
        <f t="shared" si="32"/>
        <v>2.4545246100614637</v>
      </c>
      <c r="F106" s="54">
        <f t="shared" si="32"/>
        <v>1.8453727763548098</v>
      </c>
      <c r="G106" s="54">
        <f t="shared" si="32"/>
        <v>6.2442071209044014</v>
      </c>
      <c r="H106" s="54">
        <f t="shared" si="32"/>
        <v>10.848196510730107</v>
      </c>
      <c r="I106" s="54">
        <f t="shared" si="32"/>
        <v>9.2005774926810364</v>
      </c>
      <c r="J106" s="54">
        <f t="shared" si="32"/>
        <v>8.5260249071067218</v>
      </c>
      <c r="K106" s="54">
        <f t="shared" si="32"/>
        <v>8.1194153388507377</v>
      </c>
      <c r="L106" s="54">
        <f t="shared" si="32"/>
        <v>7.3181382297943367</v>
      </c>
      <c r="M106" s="54">
        <f t="shared" si="32"/>
        <v>9.1191928421381601</v>
      </c>
      <c r="N106" s="54">
        <f t="shared" si="32"/>
        <v>21.328451761427218</v>
      </c>
      <c r="O106" s="54">
        <f t="shared" si="32"/>
        <v>21.483554764858997</v>
      </c>
      <c r="P106" s="54">
        <f t="shared" si="32"/>
        <v>43.816915837718355</v>
      </c>
      <c r="Q106" s="54">
        <f>Q87/Q100</f>
        <v>51.282445457826</v>
      </c>
      <c r="R106" s="96"/>
      <c r="S106" s="96"/>
      <c r="U106" s="26" t="s">
        <v>81</v>
      </c>
    </row>
    <row r="107" spans="1:21">
      <c r="A107" s="25" t="s">
        <v>194</v>
      </c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54">
        <f>Q88/Q101</f>
        <v>51.211136035326085</v>
      </c>
      <c r="R107" s="96"/>
      <c r="S107" s="96"/>
    </row>
    <row r="108" spans="1:2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96"/>
      <c r="Q108" s="96"/>
      <c r="R108" s="96"/>
      <c r="S108" s="96"/>
    </row>
    <row r="109" spans="1:21">
      <c r="A109" s="25" t="s">
        <v>82</v>
      </c>
      <c r="B109" s="40">
        <f t="shared" ref="B109:P109" si="33">B100/B87</f>
        <v>1.3438520179194735</v>
      </c>
      <c r="C109" s="40">
        <f t="shared" si="33"/>
        <v>0.50138733114818979</v>
      </c>
      <c r="D109" s="40">
        <f t="shared" si="33"/>
        <v>0.35484372823070115</v>
      </c>
      <c r="E109" s="40">
        <f t="shared" si="33"/>
        <v>0.4074108672208257</v>
      </c>
      <c r="F109" s="40">
        <f t="shared" si="33"/>
        <v>0.54189593171267747</v>
      </c>
      <c r="G109" s="40">
        <f t="shared" si="33"/>
        <v>0.16014843528367162</v>
      </c>
      <c r="H109" s="40">
        <f t="shared" si="33"/>
        <v>9.2181220999350971E-2</v>
      </c>
      <c r="I109" s="40">
        <f t="shared" si="33"/>
        <v>0.10868882967351665</v>
      </c>
      <c r="J109" s="40">
        <f t="shared" si="33"/>
        <v>0.11728795199348611</v>
      </c>
      <c r="K109" s="40">
        <f t="shared" si="33"/>
        <v>0.12316157731395781</v>
      </c>
      <c r="L109" s="40">
        <f t="shared" si="33"/>
        <v>0.13664677662533073</v>
      </c>
      <c r="M109" s="40">
        <f t="shared" si="33"/>
        <v>0.10965882806855216</v>
      </c>
      <c r="N109" s="40">
        <f t="shared" si="33"/>
        <v>4.6885728565095049E-2</v>
      </c>
      <c r="O109" s="40">
        <f t="shared" si="33"/>
        <v>4.6547231635786661E-2</v>
      </c>
      <c r="P109" s="40">
        <f t="shared" si="33"/>
        <v>2.2822236136008065E-2</v>
      </c>
      <c r="Q109" s="40">
        <f>Q100/Q87</f>
        <v>1.9499850115813736E-2</v>
      </c>
      <c r="R109" s="96"/>
      <c r="S109" s="96"/>
      <c r="U109" s="26" t="s">
        <v>83</v>
      </c>
    </row>
    <row r="110" spans="1:21">
      <c r="A110" s="25" t="s">
        <v>194</v>
      </c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>
        <f>Q101/Q88</f>
        <v>1.9527002863404308E-2</v>
      </c>
      <c r="R110" s="96"/>
      <c r="S110" s="96"/>
    </row>
    <row r="111" spans="1:21">
      <c r="A111" s="25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96"/>
      <c r="S111" s="96"/>
    </row>
    <row r="112" spans="1:21">
      <c r="A112" s="25" t="s">
        <v>85</v>
      </c>
      <c r="B112" s="97">
        <f t="shared" ref="B112:Q112" si="34">(B87*B28)-B82</f>
        <v>-671728.22</v>
      </c>
      <c r="C112" s="97">
        <f t="shared" si="34"/>
        <v>-409993.24</v>
      </c>
      <c r="D112" s="97">
        <f t="shared" si="34"/>
        <v>317967.48</v>
      </c>
      <c r="E112" s="97">
        <f t="shared" si="34"/>
        <v>-138882.52000000002</v>
      </c>
      <c r="F112" s="97">
        <f t="shared" si="34"/>
        <v>-620325.05000000005</v>
      </c>
      <c r="G112" s="97">
        <f t="shared" si="34"/>
        <v>-2377459.92</v>
      </c>
      <c r="H112" s="97">
        <f t="shared" si="34"/>
        <v>4524287.6399999997</v>
      </c>
      <c r="I112" s="97">
        <f t="shared" si="34"/>
        <v>3603313.8600000003</v>
      </c>
      <c r="J112" s="97">
        <f t="shared" si="34"/>
        <v>4690872.4000000004</v>
      </c>
      <c r="K112" s="97">
        <f t="shared" si="34"/>
        <v>4612213.1999999993</v>
      </c>
      <c r="L112" s="97">
        <f t="shared" si="34"/>
        <v>5257139.1300000008</v>
      </c>
      <c r="M112" s="97">
        <f t="shared" si="34"/>
        <v>5922431.0600000005</v>
      </c>
      <c r="N112" s="97">
        <f t="shared" si="34"/>
        <v>18934628.120000001</v>
      </c>
      <c r="O112" s="97">
        <f t="shared" si="34"/>
        <v>21864001.600000001</v>
      </c>
      <c r="P112" s="97">
        <f t="shared" si="34"/>
        <v>54979255.559999995</v>
      </c>
      <c r="Q112" s="97">
        <f t="shared" si="34"/>
        <v>174217243.25999999</v>
      </c>
      <c r="R112" s="96"/>
      <c r="S112" s="96"/>
      <c r="U112" s="26" t="s">
        <v>84</v>
      </c>
    </row>
    <row r="113" spans="1:21">
      <c r="A113" s="25" t="s">
        <v>86</v>
      </c>
      <c r="B113" s="98">
        <f t="shared" ref="B113:Q113" si="35">(B87*B28)/B82</f>
        <v>0.18912380280976052</v>
      </c>
      <c r="C113" s="98">
        <f t="shared" si="35"/>
        <v>0.58127979345519309</v>
      </c>
      <c r="D113" s="98">
        <f t="shared" si="35"/>
        <v>1.4934341407548453</v>
      </c>
      <c r="E113" s="98">
        <f t="shared" si="35"/>
        <v>0.86003682432057915</v>
      </c>
      <c r="F113" s="98">
        <f t="shared" si="35"/>
        <v>0.59058505758505753</v>
      </c>
      <c r="G113" s="98">
        <f t="shared" si="35"/>
        <v>0.50566495266571165</v>
      </c>
      <c r="H113" s="98">
        <f t="shared" si="35"/>
        <v>2.3587636757446369</v>
      </c>
      <c r="I113" s="98">
        <f t="shared" si="35"/>
        <v>1.925062322666905</v>
      </c>
      <c r="J113" s="98">
        <f t="shared" si="35"/>
        <v>2.2990864053043825</v>
      </c>
      <c r="K113" s="98">
        <f t="shared" si="35"/>
        <v>2.1057066642117852</v>
      </c>
      <c r="L113" s="98">
        <f t="shared" si="35"/>
        <v>2.0186556368512227</v>
      </c>
      <c r="M113" s="98">
        <f t="shared" si="35"/>
        <v>1.9018540050017125</v>
      </c>
      <c r="N113" s="98">
        <f t="shared" si="35"/>
        <v>3.6953049982199393</v>
      </c>
      <c r="O113" s="98">
        <f t="shared" si="35"/>
        <v>3.6570278040002218</v>
      </c>
      <c r="P113" s="98">
        <f t="shared" si="35"/>
        <v>10.228240672015694</v>
      </c>
      <c r="Q113" s="98">
        <f t="shared" si="35"/>
        <v>22.106731734065026</v>
      </c>
      <c r="R113" s="96"/>
      <c r="S113" s="96"/>
      <c r="U113" s="26" t="s">
        <v>87</v>
      </c>
    </row>
    <row r="114" spans="1:2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Q114" s="35"/>
      <c r="R114" s="96"/>
      <c r="S114" s="96"/>
    </row>
    <row r="115" spans="1:21">
      <c r="A115" s="25" t="s">
        <v>88</v>
      </c>
      <c r="B115" s="40"/>
      <c r="C115" s="40">
        <f>$Q$104*'Financial Ratios'!C96</f>
        <v>0.31575453263965264</v>
      </c>
      <c r="D115" s="40">
        <f>$Q$104*'Financial Ratios'!D96</f>
        <v>0.42066822497543971</v>
      </c>
      <c r="E115" s="40">
        <f>$Q$104*'Financial Ratios'!E96</f>
        <v>0.42486478692178536</v>
      </c>
      <c r="F115" s="40">
        <f>$Q$104*'Financial Ratios'!F96</f>
        <v>0.38677226752980842</v>
      </c>
      <c r="G115" s="40">
        <f>$Q$104*'Financial Ratios'!G96</f>
        <v>0.12316208558381928</v>
      </c>
      <c r="H115" s="40">
        <f>$Q$104*'Financial Ratios'!H96</f>
        <v>0.17790402130746583</v>
      </c>
      <c r="I115" s="40">
        <f>$Q$104*'Financial Ratios'!I96</f>
        <v>0.22560966410566979</v>
      </c>
      <c r="J115" s="40">
        <f>$Q$104*'Financial Ratios'!J96</f>
        <v>0.25944133801342983</v>
      </c>
      <c r="K115" s="40">
        <f>$Q$104*'Financial Ratios'!K96</f>
        <v>0.27801688523861301</v>
      </c>
      <c r="L115" s="40">
        <f>$Q$104*'Financial Ratios'!L96</f>
        <v>0.30509311850303161</v>
      </c>
      <c r="M115" s="40">
        <f>$Q$104*'Financial Ratios'!M96</f>
        <v>0.23355952786074061</v>
      </c>
      <c r="N115" s="40">
        <f>$Q$104*'Financial Ratios'!N96</f>
        <v>0.17909633849107623</v>
      </c>
      <c r="O115" s="40">
        <f>$Q$104*'Financial Ratios'!O96</f>
        <v>0.18365723654817476</v>
      </c>
      <c r="P115" s="40">
        <f>$Q$104*'Financial Ratios'!P96</f>
        <v>0.19606269695714126</v>
      </c>
      <c r="Q115" s="40">
        <f>$Q$104*'Financial Ratios'!Q96</f>
        <v>0.25036642019118444</v>
      </c>
      <c r="R115" s="96"/>
      <c r="S115" s="96"/>
      <c r="U115" s="26" t="s">
        <v>89</v>
      </c>
    </row>
    <row r="116" spans="1:21">
      <c r="A116" s="25" t="s">
        <v>91</v>
      </c>
      <c r="B116" s="40"/>
      <c r="C116" s="40">
        <f>'Financial Ratios'!C95*'Financial Ratios'!C112*('Investment Analysis (1)'!C53/'Investment Analysis (1)'!C82)</f>
        <v>0.32486095958532513</v>
      </c>
      <c r="D116" s="40">
        <f>'Financial Ratios'!D95*'Financial Ratios'!D112*('Investment Analysis (1)'!D53/'Investment Analysis (1)'!D82)</f>
        <v>0.45964973890392247</v>
      </c>
      <c r="E116" s="40">
        <f>'Financial Ratios'!E95*'Financial Ratios'!E112*('Investment Analysis (1)'!E53/'Investment Analysis (1)'!E82)</f>
        <v>0.40402868249381241</v>
      </c>
      <c r="F116" s="40">
        <f>'Financial Ratios'!F95*'Financial Ratios'!F112*('Investment Analysis (1)'!F53/'Investment Analysis (1)'!F82)</f>
        <v>0.3694183824023104</v>
      </c>
      <c r="G116" s="40">
        <f>'Financial Ratios'!G95*'Financial Ratios'!G112*('Investment Analysis (1)'!G53/'Investment Analysis (1)'!G82)</f>
        <v>0.12014939114116321</v>
      </c>
      <c r="H116" s="40">
        <f>'Financial Ratios'!H95*'Financial Ratios'!H112*('Investment Analysis (1)'!H53/'Investment Analysis (1)'!H82)</f>
        <v>0.1857332719562938</v>
      </c>
      <c r="I116" s="40">
        <f>'Financial Ratios'!I95*'Financial Ratios'!I112*('Investment Analysis (1)'!I53/'Investment Analysis (1)'!I82)</f>
        <v>0.22414637406578913</v>
      </c>
      <c r="J116" s="40">
        <f>'Financial Ratios'!J95*'Financial Ratios'!J112*('Investment Analysis (1)'!J53/'Investment Analysis (1)'!J82)</f>
        <v>0.26201161526673616</v>
      </c>
      <c r="K116" s="40">
        <f>'Financial Ratios'!K95*'Financial Ratios'!K112*('Investment Analysis (1)'!K53/'Investment Analysis (1)'!K82)</f>
        <v>0.27282274713104571</v>
      </c>
      <c r="L116" s="40">
        <f>'Financial Ratios'!L95*'Financial Ratios'!L112*('Investment Analysis (1)'!L53/'Investment Analysis (1)'!L82)</f>
        <v>0.3048228218139849</v>
      </c>
      <c r="M116" s="40">
        <f>'Financial Ratios'!M95*'Financial Ratios'!M112*('Investment Analysis (1)'!M53/'Investment Analysis (1)'!M82)</f>
        <v>0.23240797601395344</v>
      </c>
      <c r="N116" s="40">
        <f>'Financial Ratios'!N95*'Financial Ratios'!N112*('Investment Analysis (1)'!N53/'Investment Analysis (1)'!N82)</f>
        <v>0.17851272915970923</v>
      </c>
      <c r="O116" s="40">
        <f>'Financial Ratios'!O95*'Financial Ratios'!O112*('Investment Analysis (1)'!O53/'Investment Analysis (1)'!O82)</f>
        <v>0.18341688186759672</v>
      </c>
      <c r="P116" s="40">
        <f>'Financial Ratios'!P95*'Financial Ratios'!P112*('Investment Analysis (1)'!P53/'Investment Analysis (1)'!P82)</f>
        <v>0.20704555150185971</v>
      </c>
      <c r="Q116" s="40">
        <f>'Financial Ratios'!Q95*'Financial Ratios'!Q112*('Investment Analysis (1)'!Q53/'Investment Analysis (1)'!Q82)</f>
        <v>0.23839033291879669</v>
      </c>
      <c r="R116" s="96"/>
      <c r="S116" s="96"/>
      <c r="U116" s="26" t="s">
        <v>90</v>
      </c>
    </row>
    <row r="117" spans="1:21">
      <c r="R117" s="96"/>
      <c r="S117" s="96"/>
      <c r="U117" s="36"/>
    </row>
    <row r="118" spans="1:21"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R118" s="96"/>
      <c r="S118" s="96"/>
    </row>
    <row r="119" spans="1:21">
      <c r="R119" s="96"/>
      <c r="S119" s="96"/>
    </row>
    <row r="120" spans="1:21">
      <c r="R120" s="96"/>
      <c r="S120" s="96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2560-92E4-4B2F-9914-1E7CB73F8641}">
  <dimension ref="A1:AS181"/>
  <sheetViews>
    <sheetView topLeftCell="A159" zoomScale="70" zoomScaleNormal="70" workbookViewId="0">
      <selection activeCell="A174" sqref="A174"/>
    </sheetView>
  </sheetViews>
  <sheetFormatPr defaultRowHeight="14.4"/>
  <cols>
    <col min="1" max="1" width="46.6640625" style="114" customWidth="1"/>
    <col min="2" max="5" width="9.44140625" style="114" customWidth="1"/>
    <col min="6" max="11" width="11.21875" style="114" customWidth="1"/>
    <col min="12" max="17" width="12.33203125" style="114" customWidth="1"/>
    <col min="18" max="23" width="13.44140625" style="114" customWidth="1"/>
    <col min="24" max="24" width="12.77734375" style="114" customWidth="1"/>
    <col min="25" max="25" width="12.6640625" style="114" customWidth="1"/>
    <col min="26" max="26" width="12.77734375" style="114" customWidth="1"/>
    <col min="27" max="31" width="12.6640625" style="114" customWidth="1"/>
    <col min="32" max="32" width="12.77734375" style="114" customWidth="1"/>
    <col min="33" max="33" width="12.6640625" style="114" customWidth="1"/>
    <col min="34" max="16384" width="8.88671875" style="114"/>
  </cols>
  <sheetData>
    <row r="1" spans="1:45" ht="17.850000000000001" customHeight="1">
      <c r="A1" s="164" t="s">
        <v>333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</row>
    <row r="2" spans="1:45">
      <c r="A2" s="167" t="s">
        <v>332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8"/>
      <c r="Y2" s="168"/>
      <c r="Z2" s="168"/>
      <c r="AA2" s="168"/>
      <c r="AB2" s="168"/>
      <c r="AC2" s="168"/>
      <c r="AD2" s="168"/>
      <c r="AE2" s="168"/>
      <c r="AF2" s="168"/>
      <c r="AG2" s="168"/>
    </row>
    <row r="3" spans="1:45">
      <c r="A3" s="106">
        <v>1994</v>
      </c>
      <c r="B3" s="106">
        <v>1994</v>
      </c>
      <c r="C3" s="106">
        <f t="shared" ref="C3:AG3" si="0">B3+1</f>
        <v>1995</v>
      </c>
      <c r="D3" s="106">
        <f t="shared" si="0"/>
        <v>1996</v>
      </c>
      <c r="E3" s="106">
        <f t="shared" si="0"/>
        <v>1997</v>
      </c>
      <c r="F3" s="106">
        <f t="shared" si="0"/>
        <v>1998</v>
      </c>
      <c r="G3" s="106">
        <f t="shared" si="0"/>
        <v>1999</v>
      </c>
      <c r="H3" s="106">
        <f t="shared" si="0"/>
        <v>2000</v>
      </c>
      <c r="I3" s="106">
        <f t="shared" si="0"/>
        <v>2001</v>
      </c>
      <c r="J3" s="106">
        <f t="shared" si="0"/>
        <v>2002</v>
      </c>
      <c r="K3" s="106">
        <f t="shared" si="0"/>
        <v>2003</v>
      </c>
      <c r="L3" s="106">
        <f t="shared" si="0"/>
        <v>2004</v>
      </c>
      <c r="M3" s="106">
        <f t="shared" si="0"/>
        <v>2005</v>
      </c>
      <c r="N3" s="106">
        <f t="shared" si="0"/>
        <v>2006</v>
      </c>
      <c r="O3" s="106">
        <f t="shared" si="0"/>
        <v>2007</v>
      </c>
      <c r="P3" s="106">
        <f t="shared" si="0"/>
        <v>2008</v>
      </c>
      <c r="Q3" s="106">
        <f t="shared" si="0"/>
        <v>2009</v>
      </c>
      <c r="R3" s="106">
        <f t="shared" si="0"/>
        <v>2010</v>
      </c>
      <c r="S3" s="106">
        <f t="shared" si="0"/>
        <v>2011</v>
      </c>
      <c r="T3" s="106">
        <f t="shared" si="0"/>
        <v>2012</v>
      </c>
      <c r="U3" s="106">
        <f t="shared" si="0"/>
        <v>2013</v>
      </c>
      <c r="V3" s="106">
        <f t="shared" si="0"/>
        <v>2014</v>
      </c>
      <c r="W3" s="106">
        <f t="shared" si="0"/>
        <v>2015</v>
      </c>
      <c r="X3" s="106">
        <f t="shared" si="0"/>
        <v>2016</v>
      </c>
      <c r="Y3" s="106">
        <f t="shared" si="0"/>
        <v>2017</v>
      </c>
      <c r="Z3" s="106">
        <f t="shared" si="0"/>
        <v>2018</v>
      </c>
      <c r="AA3" s="106">
        <f t="shared" si="0"/>
        <v>2019</v>
      </c>
      <c r="AB3" s="106">
        <f t="shared" si="0"/>
        <v>2020</v>
      </c>
      <c r="AC3" s="106">
        <f t="shared" si="0"/>
        <v>2021</v>
      </c>
      <c r="AD3" s="106">
        <f t="shared" si="0"/>
        <v>2022</v>
      </c>
      <c r="AE3" s="106">
        <f t="shared" si="0"/>
        <v>2023</v>
      </c>
      <c r="AF3" s="106">
        <f t="shared" si="0"/>
        <v>2024</v>
      </c>
      <c r="AG3" s="106">
        <f t="shared" si="0"/>
        <v>2025</v>
      </c>
    </row>
    <row r="4" spans="1:45"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63"/>
      <c r="Y4" s="163"/>
      <c r="Z4" s="163"/>
      <c r="AA4" s="163"/>
      <c r="AB4" s="163"/>
      <c r="AC4" s="163"/>
      <c r="AD4" s="163"/>
      <c r="AE4" s="163"/>
      <c r="AF4" s="163"/>
      <c r="AG4" s="163"/>
    </row>
    <row r="5" spans="1:45" ht="17.399999999999999">
      <c r="A5" s="138" t="s">
        <v>331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I5" s="149" t="s">
        <v>326</v>
      </c>
      <c r="AJ5" s="149" t="s">
        <v>322</v>
      </c>
      <c r="AL5" s="149" t="s">
        <v>325</v>
      </c>
      <c r="AM5" s="149" t="s">
        <v>322</v>
      </c>
      <c r="AN5" s="149"/>
      <c r="AO5" s="149" t="s">
        <v>324</v>
      </c>
      <c r="AP5" s="149" t="s">
        <v>322</v>
      </c>
      <c r="AQ5" s="149"/>
      <c r="AR5" s="149" t="s">
        <v>323</v>
      </c>
      <c r="AS5" s="149" t="s">
        <v>322</v>
      </c>
    </row>
    <row r="6" spans="1:45">
      <c r="A6" s="114" t="s">
        <v>142</v>
      </c>
      <c r="B6" s="123">
        <v>28815.522000000001</v>
      </c>
      <c r="C6" s="123">
        <v>33990.675000000003</v>
      </c>
      <c r="D6" s="123">
        <v>35565.485000000001</v>
      </c>
      <c r="E6" s="124">
        <v>43057.063999999998</v>
      </c>
      <c r="F6" s="124">
        <v>53866.294000000002</v>
      </c>
      <c r="G6" s="124">
        <v>72303.186000000002</v>
      </c>
      <c r="H6" s="124">
        <v>79732.709000000003</v>
      </c>
      <c r="I6" s="124">
        <v>92279.710999999996</v>
      </c>
      <c r="J6" s="124">
        <v>92046.361999999994</v>
      </c>
      <c r="K6" s="124">
        <v>110352.196</v>
      </c>
      <c r="L6" s="124">
        <v>180341.13500000001</v>
      </c>
      <c r="M6" s="124">
        <v>348886.36599999998</v>
      </c>
      <c r="N6" s="124">
        <v>605774</v>
      </c>
      <c r="O6" s="124">
        <v>904465</v>
      </c>
      <c r="P6" s="124">
        <v>1033780</v>
      </c>
      <c r="Q6" s="124">
        <v>1143299</v>
      </c>
      <c r="R6" s="124">
        <v>1303942</v>
      </c>
      <c r="S6" s="124">
        <v>1703230</v>
      </c>
      <c r="T6" s="124">
        <v>2060702</v>
      </c>
      <c r="U6" s="124">
        <v>2246428</v>
      </c>
      <c r="V6" s="124">
        <v>2464867</v>
      </c>
      <c r="W6" s="124">
        <v>2722564</v>
      </c>
      <c r="X6" s="124">
        <v>3049393</v>
      </c>
      <c r="Y6" s="124">
        <v>3369045</v>
      </c>
      <c r="Z6" s="124">
        <v>3807183</v>
      </c>
      <c r="AA6" s="124">
        <v>4200819</v>
      </c>
      <c r="AB6" s="124">
        <v>4598638</v>
      </c>
      <c r="AC6" s="124">
        <v>5541352</v>
      </c>
      <c r="AD6" s="124">
        <v>6311050</v>
      </c>
      <c r="AE6" s="124">
        <v>7140027</v>
      </c>
      <c r="AF6" s="124">
        <v>7492709</v>
      </c>
      <c r="AG6" s="124">
        <v>8294343</v>
      </c>
      <c r="AI6" s="146">
        <f>IFERROR((AG6/B6)^(1/31)-1,"")</f>
        <v>0.20040445011378383</v>
      </c>
      <c r="AJ6" s="148">
        <f>IFERROR(PRODUCT(1+C7,1+D7,1+E7,1+F7,1+G7,1+H7,1+I7,1+J7,1+K7,1+L7,1+M7,1+N7,1+O7,1+P7,1+Q7,1+R7,1+S7,1+T7,1+U7,1+V7,1+W7,1+X7,1+Y7,1+Z7,1+AA7,1+AB7,1+AC7,1+AD7,1+AE7,1+AF7,1+AG7)^(1/31)-1,"")</f>
        <v>0.20040445011378383</v>
      </c>
      <c r="AL6" s="146">
        <f>IFERROR((AG6/M6)^(1/20)-1,"")</f>
        <v>0.17166889242112493</v>
      </c>
      <c r="AM6" s="148">
        <f>IFERROR(PRODUCT(1+N7,1+O7,1+P7,1+Q7,1+R7,1+S7,1+T7,1+U7,1+V7,1+W7,1+X7,1+Y7,1+Z7,1+AA7,1+AB7,1+AC7,1+AD7,1+AE7,1+AF7,1+AG7)^(1/20)-1,"")</f>
        <v>0.17166889242112493</v>
      </c>
      <c r="AO6" s="148">
        <f>IFERROR((AG6/W6)^(1/10)-1,"")</f>
        <v>0.11784191317485515</v>
      </c>
      <c r="AP6" s="148">
        <f>IFERROR(PRODUCT(1+X7,1+Y7,1+Z7,1+AA7,1+AB7,1+AC7,1+AD7,1+AE7,1+AF7,1+AG7)^(1/10)-1,"")</f>
        <v>0.11784191317485515</v>
      </c>
      <c r="AR6" s="148">
        <f>IFERROR((AG6/AB6)^(1/5)-1,"")</f>
        <v>0.12520215032714033</v>
      </c>
      <c r="AS6" s="148">
        <f>IFERROR(PRODUCT(1+AC7,1+AD7,1+AE7,1+AF7,1+AG7)^(1/5)-1,"")</f>
        <v>0.12520215032714033</v>
      </c>
    </row>
    <row r="7" spans="1:45">
      <c r="A7" s="147" t="s">
        <v>321</v>
      </c>
      <c r="B7" s="123"/>
      <c r="C7" s="146">
        <f t="shared" ref="C7:AG7" si="1">IFERROR((C6/B6-1),"")</f>
        <v>0.1795960177296112</v>
      </c>
      <c r="D7" s="146">
        <f t="shared" si="1"/>
        <v>4.633064803802811E-2</v>
      </c>
      <c r="E7" s="146">
        <f t="shared" si="1"/>
        <v>0.21064183435147865</v>
      </c>
      <c r="F7" s="146">
        <f t="shared" si="1"/>
        <v>0.25104428857480854</v>
      </c>
      <c r="G7" s="146">
        <f t="shared" si="1"/>
        <v>0.34227140259547095</v>
      </c>
      <c r="H7" s="146">
        <f t="shared" si="1"/>
        <v>0.1027551261710653</v>
      </c>
      <c r="I7" s="146">
        <f t="shared" si="1"/>
        <v>0.15736329741411392</v>
      </c>
      <c r="J7" s="146">
        <f t="shared" si="1"/>
        <v>-2.5287140311915923E-3</v>
      </c>
      <c r="K7" s="146">
        <f t="shared" si="1"/>
        <v>0.19887623586905057</v>
      </c>
      <c r="L7" s="146">
        <f t="shared" si="1"/>
        <v>0.63423240802566361</v>
      </c>
      <c r="M7" s="146">
        <f t="shared" si="1"/>
        <v>0.93459116246551277</v>
      </c>
      <c r="N7" s="146">
        <f t="shared" si="1"/>
        <v>0.73630746006279879</v>
      </c>
      <c r="O7" s="146">
        <f t="shared" si="1"/>
        <v>0.49307332437509688</v>
      </c>
      <c r="P7" s="146">
        <f t="shared" si="1"/>
        <v>0.14297402331765197</v>
      </c>
      <c r="Q7" s="146">
        <f t="shared" si="1"/>
        <v>0.1059403354678945</v>
      </c>
      <c r="R7" s="146">
        <f t="shared" si="1"/>
        <v>0.14050830097813427</v>
      </c>
      <c r="S7" s="146">
        <f t="shared" si="1"/>
        <v>0.30621607402783257</v>
      </c>
      <c r="T7" s="146">
        <f t="shared" si="1"/>
        <v>0.20987887719215848</v>
      </c>
      <c r="U7" s="146">
        <f t="shared" si="1"/>
        <v>9.0127539061931383E-2</v>
      </c>
      <c r="V7" s="146">
        <f t="shared" si="1"/>
        <v>9.7238371316596739E-2</v>
      </c>
      <c r="W7" s="146">
        <f t="shared" si="1"/>
        <v>0.10454803443755778</v>
      </c>
      <c r="X7" s="146">
        <f t="shared" si="1"/>
        <v>0.12004456093594129</v>
      </c>
      <c r="Y7" s="146">
        <f t="shared" si="1"/>
        <v>0.10482479627912844</v>
      </c>
      <c r="Z7" s="146">
        <f t="shared" si="1"/>
        <v>0.13004812936603694</v>
      </c>
      <c r="AA7" s="146">
        <f t="shared" si="1"/>
        <v>0.103392981109655</v>
      </c>
      <c r="AB7" s="146">
        <f t="shared" si="1"/>
        <v>9.4700342956932859E-2</v>
      </c>
      <c r="AC7" s="146">
        <f t="shared" si="1"/>
        <v>0.204998523475864</v>
      </c>
      <c r="AD7" s="146">
        <f t="shared" si="1"/>
        <v>0.13890075923709588</v>
      </c>
      <c r="AE7" s="146">
        <f t="shared" si="1"/>
        <v>0.13135326134319958</v>
      </c>
      <c r="AF7" s="146">
        <f t="shared" si="1"/>
        <v>4.9395051307228988E-2</v>
      </c>
      <c r="AG7" s="146">
        <f t="shared" si="1"/>
        <v>0.106988540459799</v>
      </c>
      <c r="AI7" s="149" t="s">
        <v>326</v>
      </c>
      <c r="AJ7" s="149" t="s">
        <v>322</v>
      </c>
      <c r="AL7" s="149" t="s">
        <v>325</v>
      </c>
      <c r="AM7" s="149" t="s">
        <v>322</v>
      </c>
      <c r="AN7" s="149"/>
      <c r="AO7" s="149" t="s">
        <v>324</v>
      </c>
      <c r="AP7" s="149" t="s">
        <v>322</v>
      </c>
      <c r="AQ7" s="149"/>
      <c r="AR7" s="149" t="s">
        <v>323</v>
      </c>
      <c r="AS7" s="149" t="s">
        <v>322</v>
      </c>
    </row>
    <row r="8" spans="1:45">
      <c r="A8" s="114" t="s">
        <v>109</v>
      </c>
      <c r="B8" s="123">
        <v>15886.142</v>
      </c>
      <c r="C8" s="123">
        <v>21855.368999999999</v>
      </c>
      <c r="D8" s="123">
        <v>21671.063999999998</v>
      </c>
      <c r="E8" s="124">
        <v>25222.881000000001</v>
      </c>
      <c r="F8" s="124">
        <v>27332.027999999998</v>
      </c>
      <c r="G8" s="124">
        <v>38776.531999999999</v>
      </c>
      <c r="H8" s="124">
        <v>42646.677000000003</v>
      </c>
      <c r="I8" s="124">
        <v>51455.207000000002</v>
      </c>
      <c r="J8" s="124">
        <v>58802.669000000002</v>
      </c>
      <c r="K8" s="124">
        <v>66577.168000000005</v>
      </c>
      <c r="L8" s="124">
        <v>96874.75</v>
      </c>
      <c r="M8" s="124">
        <v>166343.11799999999</v>
      </c>
      <c r="N8" s="124">
        <v>289180</v>
      </c>
      <c r="O8" s="124">
        <v>436452</v>
      </c>
      <c r="P8" s="124">
        <v>494986</v>
      </c>
      <c r="Q8" s="124">
        <v>530983</v>
      </c>
      <c r="R8" s="124">
        <v>623702</v>
      </c>
      <c r="S8" s="124">
        <v>808921</v>
      </c>
      <c r="T8" s="124">
        <v>995046</v>
      </c>
      <c r="U8" s="124">
        <v>1073497</v>
      </c>
      <c r="V8" s="124">
        <v>1125057</v>
      </c>
      <c r="W8" s="124">
        <v>1090263</v>
      </c>
      <c r="X8" s="124">
        <v>1107393</v>
      </c>
      <c r="Y8" s="124">
        <v>1231355</v>
      </c>
      <c r="Z8" s="124">
        <v>1511808</v>
      </c>
      <c r="AA8" s="124">
        <v>1682234</v>
      </c>
      <c r="AB8" s="124">
        <v>1874758</v>
      </c>
      <c r="AC8" s="124">
        <v>2432839</v>
      </c>
      <c r="AD8" s="124">
        <v>3136483</v>
      </c>
      <c r="AE8" s="124">
        <v>3345821</v>
      </c>
      <c r="AF8" s="124">
        <v>3443831</v>
      </c>
      <c r="AG8" s="124">
        <v>3662148</v>
      </c>
      <c r="AI8" s="146">
        <f>IFERROR((AG8/B8)^(1/31)-1,"")</f>
        <v>0.19183652859080591</v>
      </c>
      <c r="AJ8" s="148">
        <f>IFERROR(PRODUCT(1+C9,1+D9,1+E9,1+F9,1+G9,1+H9,1+I9,1+J9,1+K9,1+L9,1+M9,1+N9,1+O9,1+P9,1+Q9,1+R9,1+S9,1+T9,1+U9,1+V9,1+W9,1+X9,1+Y9,1+Z9,1+AA9,1+AB9,1+AC9,1+AD9,1+AE9,1+AF9,1+AG9)^(1/31)-1,"")</f>
        <v>0.19183652859080591</v>
      </c>
      <c r="AL8" s="146">
        <f>IFERROR((AG8/M8)^(1/20)-1,"")</f>
        <v>0.16717654791700998</v>
      </c>
      <c r="AM8" s="148">
        <f>IFERROR(PRODUCT(1+N9,1+O9,1+P9,1+Q9,1+R9,1+S9,1+T9,1+U9,1+V9,1+W9,1+X9,1+Y9,1+Z9,1+AA9,1+AB9,1+AC9,1+AD9,1+AE9,1+AF9,1+AG9)^(1/20)-1,"")</f>
        <v>0.16717654791700998</v>
      </c>
      <c r="AO8" s="148">
        <f>IFERROR((AG8/W8)^(1/10)-1,"")</f>
        <v>0.12880899582733263</v>
      </c>
      <c r="AP8" s="148">
        <f>IFERROR(PRODUCT(1+X9,1+Y9,1+Z9,1+AA9,1+AB9,1+AC9,1+AD9,1+AE9,1+AF9,1+AG9)^(1/10)-1,"")</f>
        <v>0.12880899582733263</v>
      </c>
      <c r="AR8" s="148">
        <f>IFERROR((AG8/AB8)^(1/5)-1,"")</f>
        <v>0.14329455521925216</v>
      </c>
      <c r="AS8" s="148">
        <f>IFERROR(PRODUCT(1+AC9,1+AD9,1+AE9,1+AF9,1+AG9)^(1/5)-1,"")</f>
        <v>0.14329455521925216</v>
      </c>
    </row>
    <row r="9" spans="1:45">
      <c r="A9" s="147" t="s">
        <v>321</v>
      </c>
      <c r="B9" s="123"/>
      <c r="C9" s="146">
        <f t="shared" ref="C9:AG9" si="2">IFERROR((C8/B8-1),"")</f>
        <v>0.37575057556453917</v>
      </c>
      <c r="D9" s="146">
        <f t="shared" si="2"/>
        <v>-8.4329392928574887E-3</v>
      </c>
      <c r="E9" s="146">
        <f t="shared" si="2"/>
        <v>0.16389675190844355</v>
      </c>
      <c r="F9" s="146">
        <f t="shared" si="2"/>
        <v>8.3620384205912002E-2</v>
      </c>
      <c r="G9" s="146">
        <f t="shared" si="2"/>
        <v>0.41872136235188995</v>
      </c>
      <c r="H9" s="146">
        <f t="shared" si="2"/>
        <v>9.9806372576072722E-2</v>
      </c>
      <c r="I9" s="146">
        <f t="shared" si="2"/>
        <v>0.2065466906131983</v>
      </c>
      <c r="J9" s="146">
        <f t="shared" si="2"/>
        <v>0.14279336200124515</v>
      </c>
      <c r="K9" s="146">
        <f t="shared" si="2"/>
        <v>0.13221336943056117</v>
      </c>
      <c r="L9" s="146">
        <f t="shared" si="2"/>
        <v>0.45507465862771435</v>
      </c>
      <c r="M9" s="146">
        <f t="shared" si="2"/>
        <v>0.71709468153466194</v>
      </c>
      <c r="N9" s="146">
        <f t="shared" si="2"/>
        <v>0.73845484848973442</v>
      </c>
      <c r="O9" s="146">
        <f t="shared" si="2"/>
        <v>0.5092745003112249</v>
      </c>
      <c r="P9" s="146">
        <f t="shared" si="2"/>
        <v>0.13411325873177349</v>
      </c>
      <c r="Q9" s="146">
        <f t="shared" si="2"/>
        <v>7.2723268940939834E-2</v>
      </c>
      <c r="R9" s="146">
        <f t="shared" si="2"/>
        <v>0.1746176431260511</v>
      </c>
      <c r="S9" s="146">
        <f t="shared" si="2"/>
        <v>0.29696714135917479</v>
      </c>
      <c r="T9" s="146">
        <f t="shared" si="2"/>
        <v>0.2300904538267643</v>
      </c>
      <c r="U9" s="146">
        <f t="shared" si="2"/>
        <v>7.8841581193231258E-2</v>
      </c>
      <c r="V9" s="146">
        <f t="shared" si="2"/>
        <v>4.802994326020471E-2</v>
      </c>
      <c r="W9" s="146">
        <f t="shared" si="2"/>
        <v>-3.0926433060724956E-2</v>
      </c>
      <c r="X9" s="146">
        <f t="shared" si="2"/>
        <v>1.5711805316698912E-2</v>
      </c>
      <c r="Y9" s="146">
        <f t="shared" si="2"/>
        <v>0.11194038611405355</v>
      </c>
      <c r="Z9" s="146">
        <f t="shared" si="2"/>
        <v>0.22775966313532647</v>
      </c>
      <c r="AA9" s="146">
        <f t="shared" si="2"/>
        <v>0.11272992337651333</v>
      </c>
      <c r="AB9" s="146">
        <f t="shared" si="2"/>
        <v>0.11444543386948536</v>
      </c>
      <c r="AC9" s="157">
        <f t="shared" si="2"/>
        <v>0.29768162077452121</v>
      </c>
      <c r="AD9" s="157">
        <f t="shared" si="2"/>
        <v>0.28922752389286766</v>
      </c>
      <c r="AE9" s="146">
        <f t="shared" si="2"/>
        <v>6.6742909175659504E-2</v>
      </c>
      <c r="AF9" s="146">
        <f t="shared" si="2"/>
        <v>2.929325866506316E-2</v>
      </c>
      <c r="AG9" s="146">
        <f t="shared" si="2"/>
        <v>6.3393645042396196E-2</v>
      </c>
      <c r="AI9" s="149"/>
      <c r="AJ9" s="149"/>
      <c r="AL9" s="149"/>
      <c r="AM9" s="149"/>
      <c r="AN9" s="149"/>
      <c r="AO9" s="149"/>
      <c r="AP9" s="149"/>
      <c r="AQ9" s="149"/>
      <c r="AR9" s="149"/>
      <c r="AS9" s="149"/>
    </row>
    <row r="10" spans="1:45">
      <c r="A10" s="127" t="s">
        <v>143</v>
      </c>
      <c r="B10" s="118">
        <f t="shared" ref="B10:AG10" si="3">B6-B8</f>
        <v>12929.380000000001</v>
      </c>
      <c r="C10" s="118">
        <f t="shared" si="3"/>
        <v>12135.306000000004</v>
      </c>
      <c r="D10" s="118">
        <f t="shared" si="3"/>
        <v>13894.421000000002</v>
      </c>
      <c r="E10" s="117">
        <f t="shared" si="3"/>
        <v>17834.182999999997</v>
      </c>
      <c r="F10" s="117">
        <f t="shared" si="3"/>
        <v>26534.266000000003</v>
      </c>
      <c r="G10" s="117">
        <f t="shared" si="3"/>
        <v>33526.654000000002</v>
      </c>
      <c r="H10" s="117">
        <f t="shared" si="3"/>
        <v>37086.031999999999</v>
      </c>
      <c r="I10" s="117">
        <f t="shared" si="3"/>
        <v>40824.503999999994</v>
      </c>
      <c r="J10" s="117">
        <f t="shared" si="3"/>
        <v>33243.692999999992</v>
      </c>
      <c r="K10" s="117">
        <f t="shared" si="3"/>
        <v>43775.027999999991</v>
      </c>
      <c r="L10" s="117">
        <f t="shared" si="3"/>
        <v>83466.385000000009</v>
      </c>
      <c r="M10" s="117">
        <f t="shared" si="3"/>
        <v>182543.24799999999</v>
      </c>
      <c r="N10" s="117">
        <f t="shared" si="3"/>
        <v>316594</v>
      </c>
      <c r="O10" s="117">
        <f t="shared" si="3"/>
        <v>468013</v>
      </c>
      <c r="P10" s="117">
        <f t="shared" si="3"/>
        <v>538794</v>
      </c>
      <c r="Q10" s="117">
        <f t="shared" si="3"/>
        <v>612316</v>
      </c>
      <c r="R10" s="117">
        <f t="shared" si="3"/>
        <v>680240</v>
      </c>
      <c r="S10" s="117">
        <f t="shared" si="3"/>
        <v>894309</v>
      </c>
      <c r="T10" s="117">
        <f t="shared" si="3"/>
        <v>1065656</v>
      </c>
      <c r="U10" s="117">
        <f t="shared" si="3"/>
        <v>1172931</v>
      </c>
      <c r="V10" s="117">
        <f t="shared" si="3"/>
        <v>1339810</v>
      </c>
      <c r="W10" s="117">
        <f t="shared" si="3"/>
        <v>1632301</v>
      </c>
      <c r="X10" s="117">
        <f t="shared" si="3"/>
        <v>1942000</v>
      </c>
      <c r="Y10" s="117">
        <f t="shared" si="3"/>
        <v>2137690</v>
      </c>
      <c r="Z10" s="117">
        <f t="shared" si="3"/>
        <v>2295375</v>
      </c>
      <c r="AA10" s="117">
        <f t="shared" si="3"/>
        <v>2518585</v>
      </c>
      <c r="AB10" s="117">
        <f t="shared" si="3"/>
        <v>2723880</v>
      </c>
      <c r="AC10" s="117">
        <f t="shared" si="3"/>
        <v>3108513</v>
      </c>
      <c r="AD10" s="117">
        <f t="shared" si="3"/>
        <v>3174567</v>
      </c>
      <c r="AE10" s="117">
        <f t="shared" si="3"/>
        <v>3794206</v>
      </c>
      <c r="AF10" s="117">
        <f t="shared" si="3"/>
        <v>4048878</v>
      </c>
      <c r="AG10" s="117">
        <f t="shared" si="3"/>
        <v>4632195</v>
      </c>
      <c r="AI10" s="162"/>
      <c r="AJ10" s="148"/>
      <c r="AL10" s="146"/>
      <c r="AM10" s="148"/>
      <c r="AO10" s="148"/>
      <c r="AP10" s="148"/>
      <c r="AR10" s="148"/>
      <c r="AS10" s="148"/>
    </row>
    <row r="11" spans="1:45">
      <c r="A11" s="147" t="s">
        <v>327</v>
      </c>
      <c r="B11" s="154">
        <f>B10/$B$6</f>
        <v>0.44869497765822186</v>
      </c>
      <c r="C11" s="154">
        <f t="shared" ref="C11:AG11" si="4">C10/C6</f>
        <v>0.35701868232978612</v>
      </c>
      <c r="D11" s="154">
        <f t="shared" si="4"/>
        <v>0.39067148950731312</v>
      </c>
      <c r="E11" s="154">
        <f t="shared" si="4"/>
        <v>0.41419877119350262</v>
      </c>
      <c r="F11" s="154">
        <f t="shared" si="4"/>
        <v>0.49259497971031757</v>
      </c>
      <c r="G11" s="154">
        <f t="shared" si="4"/>
        <v>0.46369538957799178</v>
      </c>
      <c r="H11" s="154">
        <f t="shared" si="4"/>
        <v>0.46512946148612605</v>
      </c>
      <c r="I11" s="154">
        <f t="shared" si="4"/>
        <v>0.44239956494878918</v>
      </c>
      <c r="J11" s="154">
        <f t="shared" si="4"/>
        <v>0.36116248679116719</v>
      </c>
      <c r="K11" s="154">
        <f t="shared" si="4"/>
        <v>0.3966847021331591</v>
      </c>
      <c r="L11" s="154">
        <f t="shared" si="4"/>
        <v>0.46282499552861306</v>
      </c>
      <c r="M11" s="154">
        <f t="shared" si="4"/>
        <v>0.52321691470167686</v>
      </c>
      <c r="N11" s="154">
        <f t="shared" si="4"/>
        <v>0.52262725042672675</v>
      </c>
      <c r="O11" s="154">
        <f t="shared" si="4"/>
        <v>0.51744733074248317</v>
      </c>
      <c r="P11" s="154">
        <f t="shared" si="4"/>
        <v>0.52118826055833933</v>
      </c>
      <c r="Q11" s="154">
        <f t="shared" si="4"/>
        <v>0.53556943546701252</v>
      </c>
      <c r="R11" s="154">
        <f t="shared" si="4"/>
        <v>0.52167964526029531</v>
      </c>
      <c r="S11" s="154">
        <f t="shared" si="4"/>
        <v>0.52506649131356309</v>
      </c>
      <c r="T11" s="154">
        <f t="shared" si="4"/>
        <v>0.51713251115396597</v>
      </c>
      <c r="U11" s="154">
        <f t="shared" si="4"/>
        <v>0.52213157955652267</v>
      </c>
      <c r="V11" s="154">
        <f t="shared" si="4"/>
        <v>0.54356279669450724</v>
      </c>
      <c r="W11" s="154">
        <f t="shared" si="4"/>
        <v>0.59954550196065182</v>
      </c>
      <c r="X11" s="154">
        <f t="shared" si="4"/>
        <v>0.63684805467842287</v>
      </c>
      <c r="Y11" s="154">
        <f t="shared" si="4"/>
        <v>0.63450918583752958</v>
      </c>
      <c r="Z11" s="154">
        <f t="shared" si="4"/>
        <v>0.60290640087434721</v>
      </c>
      <c r="AA11" s="154">
        <f t="shared" si="4"/>
        <v>0.59954618373226742</v>
      </c>
      <c r="AB11" s="154">
        <f t="shared" si="4"/>
        <v>0.59232320526207982</v>
      </c>
      <c r="AC11" s="154">
        <f t="shared" si="4"/>
        <v>0.56096652946789882</v>
      </c>
      <c r="AD11" s="154">
        <f t="shared" si="4"/>
        <v>0.50301724752616439</v>
      </c>
      <c r="AE11" s="154">
        <f t="shared" si="4"/>
        <v>0.53139939106672851</v>
      </c>
      <c r="AF11" s="154">
        <f t="shared" si="4"/>
        <v>0.54037571724725997</v>
      </c>
      <c r="AG11" s="154">
        <f t="shared" si="4"/>
        <v>0.55847642182147517</v>
      </c>
    </row>
    <row r="12" spans="1:45">
      <c r="A12" s="147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</row>
    <row r="13" spans="1:45">
      <c r="A13" s="114" t="s">
        <v>144</v>
      </c>
      <c r="B13" s="123">
        <v>13117.978999999999</v>
      </c>
      <c r="C13" s="123">
        <v>12506.77</v>
      </c>
      <c r="D13" s="123">
        <v>12524.85</v>
      </c>
      <c r="E13" s="124">
        <v>15452.188</v>
      </c>
      <c r="F13" s="124">
        <v>20217.817999999999</v>
      </c>
      <c r="G13" s="124">
        <v>25337.374</v>
      </c>
      <c r="H13" s="124">
        <v>29814.609</v>
      </c>
      <c r="I13" s="124">
        <v>34766.159</v>
      </c>
      <c r="J13" s="124">
        <v>27896.202000000001</v>
      </c>
      <c r="K13" s="124">
        <v>33887.044999999998</v>
      </c>
      <c r="L13" s="124">
        <v>49507.137000000002</v>
      </c>
      <c r="M13" s="124">
        <v>79029.837</v>
      </c>
      <c r="N13" s="124">
        <v>0</v>
      </c>
      <c r="O13" s="124">
        <v>0</v>
      </c>
      <c r="P13" s="124">
        <v>0</v>
      </c>
      <c r="Q13" s="124">
        <v>0</v>
      </c>
      <c r="R13" s="124">
        <v>0</v>
      </c>
      <c r="S13" s="124">
        <v>0</v>
      </c>
      <c r="T13" s="124">
        <v>0</v>
      </c>
      <c r="U13" s="124">
        <v>0</v>
      </c>
      <c r="V13" s="124">
        <v>0</v>
      </c>
      <c r="W13" s="124">
        <v>0</v>
      </c>
      <c r="X13" s="124">
        <v>0</v>
      </c>
      <c r="Y13" s="124">
        <v>0</v>
      </c>
      <c r="Z13" s="124">
        <v>0</v>
      </c>
      <c r="AA13" s="124">
        <v>0</v>
      </c>
      <c r="AB13" s="124">
        <v>0</v>
      </c>
      <c r="AC13" s="124">
        <v>0</v>
      </c>
      <c r="AD13" s="124">
        <v>0</v>
      </c>
      <c r="AE13" s="124">
        <v>0</v>
      </c>
      <c r="AF13" s="124">
        <v>0</v>
      </c>
      <c r="AG13" s="124">
        <v>0</v>
      </c>
    </row>
    <row r="14" spans="1:45">
      <c r="A14" s="147" t="s">
        <v>321</v>
      </c>
      <c r="B14" s="123"/>
      <c r="C14" s="146">
        <f t="shared" ref="C14:AG14" si="5">IFERROR((C13/B13-1),"")</f>
        <v>-4.6593229033222161E-2</v>
      </c>
      <c r="D14" s="146">
        <f t="shared" si="5"/>
        <v>1.4456170538037494E-3</v>
      </c>
      <c r="E14" s="146">
        <f t="shared" si="5"/>
        <v>0.23372239986906029</v>
      </c>
      <c r="F14" s="146">
        <f t="shared" si="5"/>
        <v>0.30841133954621824</v>
      </c>
      <c r="G14" s="146">
        <f t="shared" si="5"/>
        <v>0.25322000623410501</v>
      </c>
      <c r="H14" s="146">
        <f t="shared" si="5"/>
        <v>0.17670477611452551</v>
      </c>
      <c r="I14" s="146">
        <f t="shared" si="5"/>
        <v>0.16607797875196018</v>
      </c>
      <c r="J14" s="146">
        <f t="shared" si="5"/>
        <v>-0.1976047167016638</v>
      </c>
      <c r="K14" s="146">
        <f t="shared" si="5"/>
        <v>0.2147547899172797</v>
      </c>
      <c r="L14" s="146">
        <f t="shared" si="5"/>
        <v>0.46094582752789459</v>
      </c>
      <c r="M14" s="146">
        <f t="shared" si="5"/>
        <v>0.59633220155712086</v>
      </c>
      <c r="N14" s="157">
        <f t="shared" si="5"/>
        <v>-1</v>
      </c>
      <c r="O14" s="159" t="str">
        <f t="shared" si="5"/>
        <v/>
      </c>
      <c r="P14" s="159" t="str">
        <f t="shared" si="5"/>
        <v/>
      </c>
      <c r="Q14" s="159" t="str">
        <f t="shared" si="5"/>
        <v/>
      </c>
      <c r="R14" s="159" t="str">
        <f t="shared" si="5"/>
        <v/>
      </c>
      <c r="S14" s="159" t="str">
        <f t="shared" si="5"/>
        <v/>
      </c>
      <c r="T14" s="159" t="str">
        <f t="shared" si="5"/>
        <v/>
      </c>
      <c r="U14" s="159" t="str">
        <f t="shared" si="5"/>
        <v/>
      </c>
      <c r="V14" s="159" t="str">
        <f t="shared" si="5"/>
        <v/>
      </c>
      <c r="W14" s="159" t="str">
        <f t="shared" si="5"/>
        <v/>
      </c>
      <c r="X14" s="159" t="str">
        <f t="shared" si="5"/>
        <v/>
      </c>
      <c r="Y14" s="159" t="str">
        <f t="shared" si="5"/>
        <v/>
      </c>
      <c r="Z14" s="159" t="str">
        <f t="shared" si="5"/>
        <v/>
      </c>
      <c r="AA14" s="159" t="str">
        <f t="shared" si="5"/>
        <v/>
      </c>
      <c r="AB14" s="159" t="str">
        <f t="shared" si="5"/>
        <v/>
      </c>
      <c r="AC14" s="159" t="str">
        <f t="shared" si="5"/>
        <v/>
      </c>
      <c r="AD14" s="159" t="str">
        <f t="shared" si="5"/>
        <v/>
      </c>
      <c r="AE14" s="159" t="str">
        <f t="shared" si="5"/>
        <v/>
      </c>
      <c r="AF14" s="159" t="str">
        <f t="shared" si="5"/>
        <v/>
      </c>
      <c r="AG14" s="159" t="str">
        <f t="shared" si="5"/>
        <v/>
      </c>
    </row>
    <row r="15" spans="1:45">
      <c r="A15" s="114" t="s">
        <v>145</v>
      </c>
      <c r="B15" s="123"/>
      <c r="C15" s="146"/>
      <c r="D15" s="146"/>
      <c r="F15" s="161"/>
      <c r="G15" s="161"/>
      <c r="H15" s="161"/>
      <c r="I15" s="161"/>
      <c r="J15" s="161"/>
      <c r="K15" s="161"/>
      <c r="L15" s="161"/>
      <c r="M15" s="161"/>
      <c r="N15" s="161">
        <v>36200</v>
      </c>
      <c r="O15" s="161">
        <v>40800</v>
      </c>
      <c r="P15" s="161">
        <v>45100</v>
      </c>
      <c r="Q15" s="161">
        <v>39800</v>
      </c>
      <c r="R15" s="161">
        <v>47400</v>
      </c>
      <c r="S15" s="161">
        <v>60500</v>
      </c>
      <c r="T15" s="161">
        <v>76100</v>
      </c>
      <c r="U15" s="161">
        <v>84000</v>
      </c>
      <c r="V15" s="161">
        <v>92700</v>
      </c>
      <c r="W15" s="161">
        <v>87000</v>
      </c>
      <c r="X15" s="123">
        <v>83600</v>
      </c>
      <c r="Y15" s="123">
        <v>91900</v>
      </c>
      <c r="Z15" s="123">
        <v>128500</v>
      </c>
      <c r="AA15" s="123">
        <v>122500</v>
      </c>
      <c r="AB15" s="123">
        <v>134100</v>
      </c>
      <c r="AC15" s="123">
        <v>213900</v>
      </c>
      <c r="AD15" s="123">
        <v>249200</v>
      </c>
      <c r="AE15" s="123">
        <v>223600</v>
      </c>
      <c r="AF15" s="123">
        <v>224200</v>
      </c>
      <c r="AG15" s="123">
        <v>237000</v>
      </c>
      <c r="AI15" s="149"/>
      <c r="AJ15" s="149"/>
      <c r="AL15" s="149"/>
      <c r="AM15" s="149"/>
      <c r="AN15" s="149"/>
      <c r="AO15" s="149"/>
      <c r="AP15" s="149"/>
      <c r="AQ15" s="149"/>
      <c r="AR15" s="149"/>
      <c r="AS15" s="149"/>
    </row>
    <row r="16" spans="1:45">
      <c r="A16" s="147" t="s">
        <v>321</v>
      </c>
      <c r="B16" s="123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57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I16" s="149"/>
      <c r="AJ16" s="149"/>
      <c r="AL16" s="149"/>
      <c r="AM16" s="149"/>
      <c r="AN16" s="149"/>
      <c r="AO16" s="149"/>
      <c r="AP16" s="149"/>
      <c r="AQ16" s="149"/>
      <c r="AR16" s="149"/>
      <c r="AS16" s="149"/>
    </row>
    <row r="17" spans="1:45">
      <c r="A17" s="114" t="s">
        <v>146</v>
      </c>
      <c r="B17" s="123"/>
      <c r="C17" s="146"/>
      <c r="D17" s="146"/>
      <c r="F17" s="161"/>
      <c r="G17" s="161"/>
      <c r="H17" s="161"/>
      <c r="I17" s="161"/>
      <c r="J17" s="161"/>
      <c r="K17" s="161"/>
      <c r="L17" s="161"/>
      <c r="M17" s="161"/>
      <c r="N17" s="161">
        <v>35700</v>
      </c>
      <c r="O17" s="161">
        <v>66600</v>
      </c>
      <c r="P17" s="161">
        <v>84600</v>
      </c>
      <c r="Q17" s="161">
        <v>86700</v>
      </c>
      <c r="R17" s="161">
        <v>104900</v>
      </c>
      <c r="S17" s="161">
        <v>148800</v>
      </c>
      <c r="T17" s="161">
        <v>165400</v>
      </c>
      <c r="U17" s="161">
        <v>181800</v>
      </c>
      <c r="V17" s="161">
        <v>171500</v>
      </c>
      <c r="W17" s="161">
        <v>209700</v>
      </c>
      <c r="X17" s="123">
        <v>270600</v>
      </c>
      <c r="Y17" s="123">
        <v>324000</v>
      </c>
      <c r="Z17" s="123">
        <v>353900</v>
      </c>
      <c r="AA17" s="123">
        <v>391600</v>
      </c>
      <c r="AB17" s="123">
        <v>345700</v>
      </c>
      <c r="AC17" s="123">
        <v>417600</v>
      </c>
      <c r="AD17" s="123">
        <v>460700</v>
      </c>
      <c r="AE17" s="123">
        <v>528900</v>
      </c>
      <c r="AF17" s="123">
        <v>584100</v>
      </c>
      <c r="AG17" s="123">
        <v>599900</v>
      </c>
      <c r="AI17" s="149"/>
      <c r="AJ17" s="149"/>
      <c r="AL17" s="149"/>
      <c r="AM17" s="149"/>
      <c r="AN17" s="149"/>
      <c r="AO17" s="149"/>
      <c r="AP17" s="149"/>
      <c r="AQ17" s="149"/>
      <c r="AR17" s="149"/>
      <c r="AS17" s="149"/>
    </row>
    <row r="18" spans="1:45">
      <c r="A18" s="147" t="s">
        <v>321</v>
      </c>
      <c r="B18" s="123"/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57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I18" s="149"/>
      <c r="AJ18" s="149"/>
      <c r="AL18" s="149"/>
      <c r="AM18" s="149"/>
      <c r="AN18" s="149"/>
      <c r="AO18" s="149"/>
      <c r="AP18" s="149"/>
      <c r="AQ18" s="149"/>
      <c r="AR18" s="149"/>
      <c r="AS18" s="149"/>
    </row>
    <row r="19" spans="1:45">
      <c r="A19" s="114" t="s">
        <v>147</v>
      </c>
      <c r="B19" s="160">
        <v>998.83300000000054</v>
      </c>
      <c r="C19" s="160">
        <v>935.24399999999878</v>
      </c>
      <c r="D19" s="160">
        <v>692.6239999999998</v>
      </c>
      <c r="E19" s="160">
        <v>500.08599999999933</v>
      </c>
      <c r="F19" s="160">
        <v>356.58200000000215</v>
      </c>
      <c r="G19" s="160">
        <v>688.22599999999875</v>
      </c>
      <c r="H19" s="160">
        <v>371.09100000000035</v>
      </c>
      <c r="I19" s="160">
        <v>507.44099999999889</v>
      </c>
      <c r="J19" s="160">
        <v>54.597999999998137</v>
      </c>
      <c r="K19" s="160">
        <v>61.855000000003201</v>
      </c>
      <c r="L19" s="160">
        <v>73.062999999994645</v>
      </c>
      <c r="M19" s="160">
        <v>70.062999999994645</v>
      </c>
      <c r="N19" s="144">
        <v>86115</v>
      </c>
      <c r="O19" s="144">
        <v>129627</v>
      </c>
      <c r="P19" s="144">
        <v>245503</v>
      </c>
      <c r="Q19" s="144">
        <v>148507</v>
      </c>
      <c r="R19" s="144">
        <v>180126</v>
      </c>
      <c r="S19" s="144">
        <v>228586</v>
      </c>
      <c r="T19" s="144">
        <v>273533</v>
      </c>
      <c r="U19" s="144">
        <v>334215</v>
      </c>
      <c r="V19" s="144">
        <v>328105</v>
      </c>
      <c r="W19" s="144">
        <v>603418</v>
      </c>
      <c r="X19" s="144">
        <v>502462</v>
      </c>
      <c r="Y19" s="144">
        <v>523003</v>
      </c>
      <c r="Z19" s="144">
        <v>529356</v>
      </c>
      <c r="AA19" s="144">
        <v>601546</v>
      </c>
      <c r="AB19" s="144">
        <v>610927</v>
      </c>
      <c r="AC19" s="144">
        <v>679546</v>
      </c>
      <c r="AD19" s="144">
        <v>879946</v>
      </c>
      <c r="AE19" s="144">
        <v>1088351</v>
      </c>
      <c r="AF19" s="144">
        <v>1310284</v>
      </c>
      <c r="AG19" s="144">
        <v>1375941</v>
      </c>
      <c r="AI19" s="149"/>
      <c r="AJ19" s="149"/>
      <c r="AL19" s="149"/>
      <c r="AM19" s="149"/>
      <c r="AN19" s="149"/>
      <c r="AO19" s="149"/>
      <c r="AP19" s="149"/>
      <c r="AQ19" s="149"/>
      <c r="AR19" s="149"/>
      <c r="AS19" s="149"/>
    </row>
    <row r="20" spans="1:45">
      <c r="A20" s="147" t="s">
        <v>321</v>
      </c>
      <c r="B20" s="123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57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I20" s="149" t="s">
        <v>326</v>
      </c>
      <c r="AJ20" s="149" t="s">
        <v>322</v>
      </c>
      <c r="AL20" s="149" t="s">
        <v>325</v>
      </c>
      <c r="AM20" s="149" t="s">
        <v>322</v>
      </c>
      <c r="AN20" s="149"/>
      <c r="AO20" s="149" t="s">
        <v>324</v>
      </c>
      <c r="AP20" s="149" t="s">
        <v>322</v>
      </c>
      <c r="AQ20" s="149"/>
      <c r="AR20" s="149" t="s">
        <v>323</v>
      </c>
      <c r="AS20" s="149" t="s">
        <v>322</v>
      </c>
    </row>
    <row r="21" spans="1:45">
      <c r="A21" s="114" t="s">
        <v>148</v>
      </c>
      <c r="B21" s="141">
        <f t="shared" ref="B21:M21" si="6">B19+B13</f>
        <v>14116.812</v>
      </c>
      <c r="C21" s="141">
        <f t="shared" si="6"/>
        <v>13442.013999999999</v>
      </c>
      <c r="D21" s="141">
        <f t="shared" si="6"/>
        <v>13217.474</v>
      </c>
      <c r="E21" s="141">
        <f t="shared" si="6"/>
        <v>15952.273999999999</v>
      </c>
      <c r="F21" s="141">
        <f t="shared" si="6"/>
        <v>20574.400000000001</v>
      </c>
      <c r="G21" s="141">
        <f t="shared" si="6"/>
        <v>26025.599999999999</v>
      </c>
      <c r="H21" s="141">
        <f t="shared" si="6"/>
        <v>30185.7</v>
      </c>
      <c r="I21" s="141">
        <f t="shared" si="6"/>
        <v>35273.599999999999</v>
      </c>
      <c r="J21" s="141">
        <f t="shared" si="6"/>
        <v>27950.799999999999</v>
      </c>
      <c r="K21" s="141">
        <f t="shared" si="6"/>
        <v>33948.9</v>
      </c>
      <c r="L21" s="141">
        <f t="shared" si="6"/>
        <v>49580.2</v>
      </c>
      <c r="M21" s="141">
        <f t="shared" si="6"/>
        <v>79099.899999999994</v>
      </c>
      <c r="N21" s="158">
        <f t="shared" ref="N21:AG21" si="7">N19+N17+N15+N13</f>
        <v>158015</v>
      </c>
      <c r="O21" s="158">
        <f t="shared" si="7"/>
        <v>237027</v>
      </c>
      <c r="P21" s="158">
        <f t="shared" si="7"/>
        <v>375203</v>
      </c>
      <c r="Q21" s="158">
        <f t="shared" si="7"/>
        <v>275007</v>
      </c>
      <c r="R21" s="158">
        <f t="shared" si="7"/>
        <v>332426</v>
      </c>
      <c r="S21" s="158">
        <f t="shared" si="7"/>
        <v>437886</v>
      </c>
      <c r="T21" s="158">
        <f t="shared" si="7"/>
        <v>515033</v>
      </c>
      <c r="U21" s="158">
        <f t="shared" si="7"/>
        <v>600015</v>
      </c>
      <c r="V21" s="158">
        <f t="shared" si="7"/>
        <v>592305</v>
      </c>
      <c r="W21" s="158">
        <f t="shared" si="7"/>
        <v>900118</v>
      </c>
      <c r="X21" s="158">
        <f t="shared" si="7"/>
        <v>856662</v>
      </c>
      <c r="Y21" s="158">
        <f t="shared" si="7"/>
        <v>938903</v>
      </c>
      <c r="Z21" s="158">
        <f t="shared" si="7"/>
        <v>1011756</v>
      </c>
      <c r="AA21" s="158">
        <f t="shared" si="7"/>
        <v>1115646</v>
      </c>
      <c r="AB21" s="158">
        <f t="shared" si="7"/>
        <v>1090727</v>
      </c>
      <c r="AC21" s="158">
        <f t="shared" si="7"/>
        <v>1311046</v>
      </c>
      <c r="AD21" s="158">
        <f t="shared" si="7"/>
        <v>1589846</v>
      </c>
      <c r="AE21" s="158">
        <f t="shared" si="7"/>
        <v>1840851</v>
      </c>
      <c r="AF21" s="158">
        <f t="shared" si="7"/>
        <v>2118584</v>
      </c>
      <c r="AG21" s="158">
        <f t="shared" si="7"/>
        <v>2212841</v>
      </c>
      <c r="AI21" s="146">
        <f>IFERROR((AG21/B21)^(1/31)-1,"")</f>
        <v>0.17709994996331635</v>
      </c>
      <c r="AJ21" s="148">
        <f>IFERROR(PRODUCT(1+C22,1+D22,1+E22,1+F22,1+G22,1+H22,1+I22,1+J22,1+K22,1+L22,1+M22,1+N22,1+O22,1+P22,1+Q22,1+R22,1+S22,1+T22,1+U22,1+V22,1+W22,1+X22,1+Y22,1+Z22,1+AA22,1+AB22,1+AC22,1+AD22,1+AE22,1+AF22,1+AG22)^(1/31)-1,"")</f>
        <v>0.17709994996331635</v>
      </c>
      <c r="AL21" s="146">
        <f>IFERROR((AG21/M21)^(1/20)-1,"")</f>
        <v>0.18124154713714979</v>
      </c>
      <c r="AM21" s="148">
        <f>IFERROR(PRODUCT(1+N22,1+O22,1+P22,1+Q22,1+R22,1+S22,1+T22,1+U22,1+V22,1+W22,1+X22,1+Y22,1+Z22,1+AA22,1+AB22,1+AC22,1+AD22,1+AE22,1+AF22,1+AG22)^(1/20)-1,"")</f>
        <v>0.18124154713714979</v>
      </c>
      <c r="AO21" s="148">
        <f>IFERROR((AG21/W21)^(1/10)-1,"")</f>
        <v>9.4120301044557042E-2</v>
      </c>
      <c r="AP21" s="148">
        <f>IFERROR(PRODUCT(1+X22,1+Y22,1+Z22,1+AA22,1+AB22,1+AC22,1+AD22,1+AE22,1+AF22,1+AG22)^(1/10)-1,"")</f>
        <v>9.4120301044557042E-2</v>
      </c>
      <c r="AR21" s="148">
        <f>IFERROR((AG21/AB21)^(1/5)-1,"")</f>
        <v>0.15198501316695956</v>
      </c>
      <c r="AS21" s="148">
        <f>IFERROR(PRODUCT(1+AC22,1+AD22,1+AE22,1+AF22,1+AG22)^(1/5)-1,"")</f>
        <v>0.15198501316695956</v>
      </c>
    </row>
    <row r="22" spans="1:45">
      <c r="A22" s="147" t="s">
        <v>321</v>
      </c>
      <c r="B22" s="123"/>
      <c r="C22" s="146">
        <f t="shared" ref="C22:AG22" si="8">IFERROR((C21/B21-1),"")</f>
        <v>-4.780101909694634E-2</v>
      </c>
      <c r="D22" s="146">
        <f t="shared" si="8"/>
        <v>-1.670434207254945E-2</v>
      </c>
      <c r="E22" s="146">
        <f t="shared" si="8"/>
        <v>0.20690791599060443</v>
      </c>
      <c r="F22" s="146">
        <f t="shared" si="8"/>
        <v>0.28974715454360944</v>
      </c>
      <c r="G22" s="146">
        <f t="shared" si="8"/>
        <v>0.26495061824403132</v>
      </c>
      <c r="H22" s="146">
        <f t="shared" si="8"/>
        <v>0.15984645887126536</v>
      </c>
      <c r="I22" s="146">
        <f t="shared" si="8"/>
        <v>0.16855332160592584</v>
      </c>
      <c r="J22" s="146">
        <f t="shared" si="8"/>
        <v>-0.20760001814388096</v>
      </c>
      <c r="K22" s="146">
        <f t="shared" si="8"/>
        <v>0.21459493109320671</v>
      </c>
      <c r="L22" s="146">
        <f t="shared" si="8"/>
        <v>0.46043612606004891</v>
      </c>
      <c r="M22" s="146">
        <f t="shared" si="8"/>
        <v>0.59539291894748314</v>
      </c>
      <c r="N22" s="146">
        <f t="shared" si="8"/>
        <v>0.99766371386057395</v>
      </c>
      <c r="O22" s="146">
        <f t="shared" si="8"/>
        <v>0.5000284783090212</v>
      </c>
      <c r="P22" s="146">
        <f t="shared" si="8"/>
        <v>0.58295468448742116</v>
      </c>
      <c r="Q22" s="146">
        <f t="shared" si="8"/>
        <v>-0.26704477309616392</v>
      </c>
      <c r="R22" s="146">
        <f t="shared" si="8"/>
        <v>0.20879104895511746</v>
      </c>
      <c r="S22" s="146">
        <f t="shared" si="8"/>
        <v>0.31724353690746221</v>
      </c>
      <c r="T22" s="146">
        <f t="shared" si="8"/>
        <v>0.17618055841017988</v>
      </c>
      <c r="U22" s="146">
        <f t="shared" si="8"/>
        <v>0.16500301922401084</v>
      </c>
      <c r="V22" s="146">
        <f t="shared" si="8"/>
        <v>-1.2849678758031002E-2</v>
      </c>
      <c r="W22" s="146">
        <f t="shared" si="8"/>
        <v>0.5196866479263218</v>
      </c>
      <c r="X22" s="146">
        <f t="shared" si="8"/>
        <v>-4.8278114647190673E-2</v>
      </c>
      <c r="Y22" s="146">
        <f t="shared" si="8"/>
        <v>9.6001690281581231E-2</v>
      </c>
      <c r="Z22" s="146">
        <f t="shared" si="8"/>
        <v>7.7593745040755113E-2</v>
      </c>
      <c r="AA22" s="146">
        <f t="shared" si="8"/>
        <v>0.10268286029437923</v>
      </c>
      <c r="AB22" s="146">
        <f t="shared" si="8"/>
        <v>-2.2335938102229558E-2</v>
      </c>
      <c r="AC22" s="157">
        <f t="shared" si="8"/>
        <v>0.20199279929808278</v>
      </c>
      <c r="AD22" s="157">
        <f t="shared" si="8"/>
        <v>0.21265462844171745</v>
      </c>
      <c r="AE22" s="146">
        <f t="shared" si="8"/>
        <v>0.15788007140314209</v>
      </c>
      <c r="AF22" s="146">
        <f t="shared" si="8"/>
        <v>0.15087206949394605</v>
      </c>
      <c r="AG22" s="146">
        <f t="shared" si="8"/>
        <v>4.4490565396510195E-2</v>
      </c>
    </row>
    <row r="23" spans="1:45">
      <c r="A23" s="127" t="s">
        <v>149</v>
      </c>
      <c r="B23" s="155">
        <f t="shared" ref="B23:AG23" si="9">B10-B21</f>
        <v>-1187.4319999999989</v>
      </c>
      <c r="C23" s="155">
        <f t="shared" si="9"/>
        <v>-1306.7079999999951</v>
      </c>
      <c r="D23" s="118">
        <f t="shared" si="9"/>
        <v>676.94700000000194</v>
      </c>
      <c r="E23" s="117">
        <f t="shared" si="9"/>
        <v>1881.9089999999978</v>
      </c>
      <c r="F23" s="117">
        <f t="shared" si="9"/>
        <v>5959.8660000000018</v>
      </c>
      <c r="G23" s="117">
        <f t="shared" si="9"/>
        <v>7501.0540000000037</v>
      </c>
      <c r="H23" s="117">
        <f t="shared" si="9"/>
        <v>6900.3319999999985</v>
      </c>
      <c r="I23" s="117">
        <f t="shared" si="9"/>
        <v>5550.903999999995</v>
      </c>
      <c r="J23" s="117">
        <f t="shared" si="9"/>
        <v>5292.8929999999928</v>
      </c>
      <c r="K23" s="117">
        <f t="shared" si="9"/>
        <v>9826.1279999999897</v>
      </c>
      <c r="L23" s="117">
        <f t="shared" si="9"/>
        <v>33886.185000000012</v>
      </c>
      <c r="M23" s="117">
        <f t="shared" si="9"/>
        <v>103443.348</v>
      </c>
      <c r="N23" s="117">
        <f t="shared" si="9"/>
        <v>158579</v>
      </c>
      <c r="O23" s="117">
        <f t="shared" si="9"/>
        <v>230986</v>
      </c>
      <c r="P23" s="117">
        <f t="shared" si="9"/>
        <v>163591</v>
      </c>
      <c r="Q23" s="117">
        <f t="shared" si="9"/>
        <v>337309</v>
      </c>
      <c r="R23" s="117">
        <f t="shared" si="9"/>
        <v>347814</v>
      </c>
      <c r="S23" s="117">
        <f t="shared" si="9"/>
        <v>456423</v>
      </c>
      <c r="T23" s="117">
        <f t="shared" si="9"/>
        <v>550623</v>
      </c>
      <c r="U23" s="117">
        <f t="shared" si="9"/>
        <v>572916</v>
      </c>
      <c r="V23" s="117">
        <f t="shared" si="9"/>
        <v>747505</v>
      </c>
      <c r="W23" s="117">
        <f t="shared" si="9"/>
        <v>732183</v>
      </c>
      <c r="X23" s="117">
        <f t="shared" si="9"/>
        <v>1085338</v>
      </c>
      <c r="Y23" s="117">
        <f t="shared" si="9"/>
        <v>1198787</v>
      </c>
      <c r="Z23" s="117">
        <f t="shared" si="9"/>
        <v>1283619</v>
      </c>
      <c r="AA23" s="117">
        <f t="shared" si="9"/>
        <v>1402939</v>
      </c>
      <c r="AB23" s="117">
        <f t="shared" si="9"/>
        <v>1633153</v>
      </c>
      <c r="AC23" s="117">
        <f t="shared" si="9"/>
        <v>1797467</v>
      </c>
      <c r="AD23" s="117">
        <f t="shared" si="9"/>
        <v>1584721</v>
      </c>
      <c r="AE23" s="117">
        <f t="shared" si="9"/>
        <v>1953355</v>
      </c>
      <c r="AF23" s="117">
        <f t="shared" si="9"/>
        <v>1930294</v>
      </c>
      <c r="AG23" s="117">
        <f t="shared" si="9"/>
        <v>2419354</v>
      </c>
    </row>
    <row r="24" spans="1:45">
      <c r="A24" s="147" t="s">
        <v>327</v>
      </c>
      <c r="B24" s="154">
        <f>-B23/B$6</f>
        <v>4.1208068345942123E-2</v>
      </c>
      <c r="C24" s="154">
        <f>-C23/C$6</f>
        <v>3.8443131829538395E-2</v>
      </c>
      <c r="D24" s="154">
        <f t="shared" ref="D24:AG24" si="10">D23/D$6</f>
        <v>1.9033818883673368E-2</v>
      </c>
      <c r="E24" s="154">
        <f t="shared" si="10"/>
        <v>4.3707322914539597E-2</v>
      </c>
      <c r="F24" s="154">
        <f t="shared" si="10"/>
        <v>0.11064184218799239</v>
      </c>
      <c r="G24" s="154">
        <f t="shared" si="10"/>
        <v>0.10374444633739935</v>
      </c>
      <c r="H24" s="154">
        <f t="shared" si="10"/>
        <v>8.654330307527866E-2</v>
      </c>
      <c r="I24" s="154">
        <f t="shared" si="10"/>
        <v>6.0153027570708312E-2</v>
      </c>
      <c r="J24" s="154">
        <f t="shared" si="10"/>
        <v>5.7502468158382981E-2</v>
      </c>
      <c r="K24" s="154">
        <f t="shared" si="10"/>
        <v>8.9043339019732687E-2</v>
      </c>
      <c r="L24" s="154">
        <f t="shared" si="10"/>
        <v>0.18790047539625393</v>
      </c>
      <c r="M24" s="154">
        <f t="shared" si="10"/>
        <v>0.29649581663503582</v>
      </c>
      <c r="N24" s="154">
        <f t="shared" si="10"/>
        <v>0.26177914535783975</v>
      </c>
      <c r="O24" s="154">
        <f t="shared" si="10"/>
        <v>0.25538412210533301</v>
      </c>
      <c r="P24" s="154">
        <f t="shared" si="10"/>
        <v>0.15824546808798778</v>
      </c>
      <c r="Q24" s="154">
        <f t="shared" si="10"/>
        <v>0.29503130852034332</v>
      </c>
      <c r="R24" s="154">
        <f t="shared" si="10"/>
        <v>0.26674039182724385</v>
      </c>
      <c r="S24" s="154">
        <f t="shared" si="10"/>
        <v>0.26797496521315384</v>
      </c>
      <c r="T24" s="154">
        <f t="shared" si="10"/>
        <v>0.26720166234613252</v>
      </c>
      <c r="U24" s="154">
        <f t="shared" si="10"/>
        <v>0.25503421431712925</v>
      </c>
      <c r="V24" s="154">
        <f t="shared" si="10"/>
        <v>0.30326382721664091</v>
      </c>
      <c r="W24" s="154">
        <f t="shared" si="10"/>
        <v>0.26893141905938667</v>
      </c>
      <c r="X24" s="154">
        <f t="shared" si="10"/>
        <v>0.3559193583772246</v>
      </c>
      <c r="Y24" s="154">
        <f t="shared" si="10"/>
        <v>0.35582397979249314</v>
      </c>
      <c r="Z24" s="154">
        <f t="shared" si="10"/>
        <v>0.33715715793015466</v>
      </c>
      <c r="AA24" s="154">
        <f t="shared" si="10"/>
        <v>0.33396797148365592</v>
      </c>
      <c r="AB24" s="154">
        <f t="shared" si="10"/>
        <v>0.35513841272133184</v>
      </c>
      <c r="AC24" s="154">
        <f t="shared" si="10"/>
        <v>0.32437336592225147</v>
      </c>
      <c r="AD24" s="154">
        <f t="shared" si="10"/>
        <v>0.25110258990183881</v>
      </c>
      <c r="AE24" s="154">
        <f t="shared" si="10"/>
        <v>0.27357809711363834</v>
      </c>
      <c r="AF24" s="154">
        <f t="shared" si="10"/>
        <v>0.25762297721691846</v>
      </c>
      <c r="AG24" s="154">
        <f t="shared" si="10"/>
        <v>0.29168723791625206</v>
      </c>
    </row>
    <row r="25" spans="1:45">
      <c r="A25" s="147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</row>
    <row r="26" spans="1:45">
      <c r="A26" s="114" t="s">
        <v>150</v>
      </c>
      <c r="B26" s="133">
        <v>-58.325000000000003</v>
      </c>
      <c r="C26" s="133">
        <v>-19.725000000000001</v>
      </c>
      <c r="D26" s="133">
        <v>-8.9190000000000005</v>
      </c>
      <c r="E26" s="132">
        <v>-3.4809999999999999</v>
      </c>
      <c r="F26" s="132">
        <v>-72.352000000000004</v>
      </c>
      <c r="G26" s="132">
        <v>-118.413</v>
      </c>
      <c r="H26" s="132">
        <v>-12.914</v>
      </c>
      <c r="I26" s="132">
        <v>-8.9920000000000009</v>
      </c>
      <c r="J26" s="132">
        <v>-2.9740000000000002</v>
      </c>
      <c r="K26" s="124">
        <v>0</v>
      </c>
      <c r="L26" s="124">
        <v>0</v>
      </c>
      <c r="M26" s="124">
        <v>1427.8030000000001</v>
      </c>
      <c r="N26" s="124">
        <v>3660</v>
      </c>
      <c r="O26" s="124">
        <v>8770</v>
      </c>
      <c r="P26" s="124">
        <v>0</v>
      </c>
      <c r="Q26" s="124">
        <v>0</v>
      </c>
      <c r="R26" s="124">
        <v>0</v>
      </c>
      <c r="S26" s="124">
        <v>0</v>
      </c>
      <c r="T26" s="124">
        <v>0</v>
      </c>
      <c r="U26" s="124">
        <v>0</v>
      </c>
      <c r="V26" s="124">
        <v>0</v>
      </c>
      <c r="W26" s="124">
        <v>0</v>
      </c>
      <c r="X26" s="124">
        <v>0</v>
      </c>
      <c r="Y26" s="124">
        <v>0</v>
      </c>
      <c r="Z26" s="124">
        <v>0</v>
      </c>
      <c r="AA26" s="124">
        <v>0</v>
      </c>
      <c r="AB26" s="124">
        <v>0</v>
      </c>
      <c r="AC26" s="124">
        <v>0</v>
      </c>
      <c r="AD26" s="124">
        <v>0</v>
      </c>
      <c r="AE26" s="124">
        <v>0</v>
      </c>
      <c r="AF26" s="124">
        <v>0</v>
      </c>
      <c r="AG26" s="124">
        <v>0</v>
      </c>
    </row>
    <row r="27" spans="1:45">
      <c r="A27" s="114" t="s">
        <v>151</v>
      </c>
      <c r="B27" s="123">
        <v>344.923</v>
      </c>
      <c r="C27" s="123">
        <v>459.54199999999997</v>
      </c>
      <c r="D27" s="123">
        <v>585.73299999999995</v>
      </c>
      <c r="E27" s="124">
        <v>525.29399999999998</v>
      </c>
      <c r="F27" s="124">
        <v>387.44600000000003</v>
      </c>
      <c r="G27" s="124">
        <v>170.506</v>
      </c>
      <c r="H27" s="124">
        <v>382.15199999999999</v>
      </c>
      <c r="I27" s="124">
        <v>527.59400000000005</v>
      </c>
      <c r="J27" s="124">
        <v>230.732</v>
      </c>
      <c r="K27" s="124">
        <v>72.591999999999999</v>
      </c>
      <c r="L27" s="124">
        <v>41.988</v>
      </c>
      <c r="M27" s="132">
        <v>-76.531000000000006</v>
      </c>
      <c r="N27" s="124">
        <v>0</v>
      </c>
      <c r="O27" s="124">
        <v>0</v>
      </c>
      <c r="P27" s="124">
        <v>0</v>
      </c>
      <c r="Q27" s="124">
        <v>0</v>
      </c>
      <c r="R27" s="124">
        <v>0</v>
      </c>
      <c r="S27" s="124">
        <v>0</v>
      </c>
      <c r="T27" s="124">
        <v>0</v>
      </c>
      <c r="U27" s="124">
        <v>0</v>
      </c>
      <c r="V27" s="124">
        <v>0</v>
      </c>
      <c r="W27" s="124">
        <v>0</v>
      </c>
      <c r="X27" s="124">
        <v>0</v>
      </c>
      <c r="Y27" s="124">
        <v>0</v>
      </c>
      <c r="Z27" s="124">
        <v>0</v>
      </c>
      <c r="AA27" s="124">
        <v>0</v>
      </c>
      <c r="AB27" s="124">
        <v>0</v>
      </c>
      <c r="AC27" s="124">
        <v>0</v>
      </c>
      <c r="AD27" s="124">
        <v>0</v>
      </c>
      <c r="AE27" s="124">
        <v>0</v>
      </c>
      <c r="AF27" s="124">
        <v>0</v>
      </c>
      <c r="AG27" s="124">
        <v>0</v>
      </c>
    </row>
    <row r="28" spans="1:45">
      <c r="A28" s="114" t="s">
        <v>152</v>
      </c>
      <c r="B28" s="133">
        <v>-28.765999999999998</v>
      </c>
      <c r="C28" s="133">
        <v>-399.23200000000003</v>
      </c>
      <c r="D28" s="133">
        <v>-259.43299999999999</v>
      </c>
      <c r="E28" s="124">
        <v>69.745000000000005</v>
      </c>
      <c r="F28" s="124">
        <v>14.718999999999999</v>
      </c>
      <c r="G28" s="124">
        <v>0</v>
      </c>
      <c r="H28" s="124">
        <v>0</v>
      </c>
      <c r="I28" s="124">
        <v>0</v>
      </c>
      <c r="J28" s="124">
        <v>0</v>
      </c>
      <c r="K28" s="124">
        <v>0</v>
      </c>
      <c r="L28" s="124">
        <v>0</v>
      </c>
      <c r="M28" s="124">
        <v>0</v>
      </c>
      <c r="N28" s="124">
        <v>0</v>
      </c>
      <c r="O28" s="124">
        <v>0</v>
      </c>
      <c r="P28" s="124">
        <v>0</v>
      </c>
      <c r="Q28" s="124">
        <v>0</v>
      </c>
      <c r="R28" s="124">
        <v>0</v>
      </c>
      <c r="S28" s="124">
        <v>0</v>
      </c>
      <c r="T28" s="124">
        <v>0</v>
      </c>
      <c r="U28" s="124">
        <v>0</v>
      </c>
      <c r="V28" s="124">
        <v>0</v>
      </c>
      <c r="W28" s="132">
        <v>-2105</v>
      </c>
      <c r="X28" s="132">
        <v>-5653</v>
      </c>
      <c r="Y28" s="124">
        <v>2836</v>
      </c>
      <c r="Z28" s="124">
        <v>9653</v>
      </c>
      <c r="AA28" s="124">
        <v>13023</v>
      </c>
      <c r="AB28" s="132">
        <v>-6996</v>
      </c>
      <c r="AC28" s="124">
        <v>3952</v>
      </c>
      <c r="AD28" s="132">
        <v>-12757</v>
      </c>
      <c r="AE28" s="124">
        <v>115127</v>
      </c>
      <c r="AF28" s="124">
        <v>59165</v>
      </c>
      <c r="AG28" s="124">
        <v>63175</v>
      </c>
    </row>
    <row r="29" spans="1:45">
      <c r="A29" s="127" t="s">
        <v>153</v>
      </c>
      <c r="B29" s="155">
        <f t="shared" ref="B29:AG29" si="11">B23-B27+B26-B28</f>
        <v>-1561.9139999999989</v>
      </c>
      <c r="C29" s="155">
        <f t="shared" si="11"/>
        <v>-1386.7429999999949</v>
      </c>
      <c r="D29" s="118">
        <f t="shared" si="11"/>
        <v>341.728000000002</v>
      </c>
      <c r="E29" s="118">
        <f t="shared" si="11"/>
        <v>1283.3889999999978</v>
      </c>
      <c r="F29" s="118">
        <f t="shared" si="11"/>
        <v>5485.349000000002</v>
      </c>
      <c r="G29" s="118">
        <f t="shared" si="11"/>
        <v>7212.1350000000039</v>
      </c>
      <c r="H29" s="118">
        <f t="shared" si="11"/>
        <v>6505.2659999999987</v>
      </c>
      <c r="I29" s="118">
        <f t="shared" si="11"/>
        <v>5014.3179999999948</v>
      </c>
      <c r="J29" s="118">
        <f t="shared" si="11"/>
        <v>5059.1869999999926</v>
      </c>
      <c r="K29" s="118">
        <f t="shared" si="11"/>
        <v>9753.5359999999891</v>
      </c>
      <c r="L29" s="118">
        <f t="shared" si="11"/>
        <v>33844.197000000015</v>
      </c>
      <c r="M29" s="118">
        <f t="shared" si="11"/>
        <v>104947.682</v>
      </c>
      <c r="N29" s="118">
        <f t="shared" si="11"/>
        <v>162239</v>
      </c>
      <c r="O29" s="118">
        <f t="shared" si="11"/>
        <v>239756</v>
      </c>
      <c r="P29" s="118">
        <f t="shared" si="11"/>
        <v>163591</v>
      </c>
      <c r="Q29" s="118">
        <f t="shared" si="11"/>
        <v>337309</v>
      </c>
      <c r="R29" s="118">
        <f t="shared" si="11"/>
        <v>347814</v>
      </c>
      <c r="S29" s="118">
        <f t="shared" si="11"/>
        <v>456423</v>
      </c>
      <c r="T29" s="118">
        <f t="shared" si="11"/>
        <v>550623</v>
      </c>
      <c r="U29" s="118">
        <f t="shared" si="11"/>
        <v>572916</v>
      </c>
      <c r="V29" s="118">
        <f t="shared" si="11"/>
        <v>747505</v>
      </c>
      <c r="W29" s="118">
        <f t="shared" si="11"/>
        <v>734288</v>
      </c>
      <c r="X29" s="118">
        <f t="shared" si="11"/>
        <v>1090991</v>
      </c>
      <c r="Y29" s="118">
        <f t="shared" si="11"/>
        <v>1195951</v>
      </c>
      <c r="Z29" s="118">
        <f t="shared" si="11"/>
        <v>1273966</v>
      </c>
      <c r="AA29" s="118">
        <f t="shared" si="11"/>
        <v>1389916</v>
      </c>
      <c r="AB29" s="118">
        <f t="shared" si="11"/>
        <v>1640149</v>
      </c>
      <c r="AC29" s="118">
        <f t="shared" si="11"/>
        <v>1793515</v>
      </c>
      <c r="AD29" s="118">
        <f t="shared" si="11"/>
        <v>1597478</v>
      </c>
      <c r="AE29" s="118">
        <f t="shared" si="11"/>
        <v>1838228</v>
      </c>
      <c r="AF29" s="118">
        <f t="shared" si="11"/>
        <v>1871129</v>
      </c>
      <c r="AG29" s="118">
        <f t="shared" si="11"/>
        <v>2356179</v>
      </c>
    </row>
    <row r="30" spans="1:45">
      <c r="A30" s="147" t="s">
        <v>327</v>
      </c>
      <c r="B30" s="154">
        <f>-B29/B$6</f>
        <v>5.4203911350278466E-2</v>
      </c>
      <c r="C30" s="154">
        <f>-C29/C$6</f>
        <v>4.0797748205941627E-2</v>
      </c>
      <c r="D30" s="154">
        <f t="shared" ref="D30:AG30" si="12">D29/D$6</f>
        <v>9.6084166995052088E-3</v>
      </c>
      <c r="E30" s="154">
        <f t="shared" si="12"/>
        <v>2.9806700243193495E-2</v>
      </c>
      <c r="F30" s="154">
        <f t="shared" si="12"/>
        <v>0.10183267852063485</v>
      </c>
      <c r="G30" s="154">
        <f t="shared" si="12"/>
        <v>9.9748509007611411E-2</v>
      </c>
      <c r="H30" s="154">
        <f t="shared" si="12"/>
        <v>8.1588423140119298E-2</v>
      </c>
      <c r="I30" s="154">
        <f t="shared" si="12"/>
        <v>5.4338249932317138E-2</v>
      </c>
      <c r="J30" s="154">
        <f t="shared" si="12"/>
        <v>5.4963465041670989E-2</v>
      </c>
      <c r="K30" s="154">
        <f t="shared" si="12"/>
        <v>8.8385517946557121E-2</v>
      </c>
      <c r="L30" s="154">
        <f t="shared" si="12"/>
        <v>0.18766764997902455</v>
      </c>
      <c r="M30" s="154">
        <f t="shared" si="12"/>
        <v>0.30080763316500597</v>
      </c>
      <c r="N30" s="154">
        <f t="shared" si="12"/>
        <v>0.26782100255210689</v>
      </c>
      <c r="O30" s="154">
        <f t="shared" si="12"/>
        <v>0.26508046193053353</v>
      </c>
      <c r="P30" s="154">
        <f t="shared" si="12"/>
        <v>0.15824546808798778</v>
      </c>
      <c r="Q30" s="154">
        <f t="shared" si="12"/>
        <v>0.29503130852034332</v>
      </c>
      <c r="R30" s="154">
        <f t="shared" si="12"/>
        <v>0.26674039182724385</v>
      </c>
      <c r="S30" s="154">
        <f t="shared" si="12"/>
        <v>0.26797496521315384</v>
      </c>
      <c r="T30" s="154">
        <f t="shared" si="12"/>
        <v>0.26720166234613252</v>
      </c>
      <c r="U30" s="154">
        <f t="shared" si="12"/>
        <v>0.25503421431712925</v>
      </c>
      <c r="V30" s="154">
        <f t="shared" si="12"/>
        <v>0.30326382721664091</v>
      </c>
      <c r="W30" s="154">
        <f t="shared" si="12"/>
        <v>0.26970458729344837</v>
      </c>
      <c r="X30" s="154">
        <f t="shared" si="12"/>
        <v>0.35777316993906655</v>
      </c>
      <c r="Y30" s="154">
        <f t="shared" si="12"/>
        <v>0.35498219821937671</v>
      </c>
      <c r="Z30" s="154">
        <f t="shared" si="12"/>
        <v>0.33462168747864235</v>
      </c>
      <c r="AA30" s="154">
        <f t="shared" si="12"/>
        <v>0.33086786171934568</v>
      </c>
      <c r="AB30" s="154">
        <f t="shared" si="12"/>
        <v>0.35665973272956036</v>
      </c>
      <c r="AC30" s="154">
        <f t="shared" si="12"/>
        <v>0.32366018256916362</v>
      </c>
      <c r="AD30" s="154">
        <f t="shared" si="12"/>
        <v>0.25312396510881707</v>
      </c>
      <c r="AE30" s="154">
        <f t="shared" si="12"/>
        <v>0.25745392839550885</v>
      </c>
      <c r="AF30" s="154">
        <f t="shared" si="12"/>
        <v>0.24972663425204422</v>
      </c>
      <c r="AG30" s="154">
        <f t="shared" si="12"/>
        <v>0.28407060089026942</v>
      </c>
    </row>
    <row r="31" spans="1:45">
      <c r="A31" s="147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</row>
    <row r="32" spans="1:45">
      <c r="A32" s="114" t="s">
        <v>154</v>
      </c>
      <c r="B32" s="133">
        <v>-37.917000000000002</v>
      </c>
      <c r="C32" s="123">
        <v>2.4</v>
      </c>
      <c r="D32" s="123">
        <v>2.4</v>
      </c>
      <c r="E32" s="124">
        <v>40.200000000000003</v>
      </c>
      <c r="F32" s="124">
        <v>2066.922</v>
      </c>
      <c r="G32" s="124">
        <v>2971.1179999999999</v>
      </c>
      <c r="H32" s="124">
        <v>2615.9859999999999</v>
      </c>
      <c r="I32" s="124">
        <v>2012.902</v>
      </c>
      <c r="J32" s="124">
        <v>2035.98</v>
      </c>
      <c r="K32" s="124">
        <v>3823.0989999999929</v>
      </c>
      <c r="L32" s="124">
        <v>13457.410000000014</v>
      </c>
      <c r="M32" s="124">
        <v>39316.060999999994</v>
      </c>
      <c r="N32" s="124">
        <v>64290</v>
      </c>
      <c r="O32" s="124">
        <v>90350</v>
      </c>
      <c r="P32" s="124">
        <v>65445</v>
      </c>
      <c r="Q32" s="124">
        <v>126979</v>
      </c>
      <c r="R32" s="124">
        <v>137273</v>
      </c>
      <c r="S32" s="124">
        <v>171051</v>
      </c>
      <c r="T32" s="124">
        <v>209134</v>
      </c>
      <c r="U32" s="124">
        <v>225233</v>
      </c>
      <c r="V32" s="124">
        <v>262603</v>
      </c>
      <c r="W32" s="124">
        <v>344815</v>
      </c>
      <c r="X32" s="124">
        <v>367000</v>
      </c>
      <c r="Y32" s="124">
        <v>380945</v>
      </c>
      <c r="Z32" s="124">
        <v>300268</v>
      </c>
      <c r="AA32" s="124">
        <v>308127</v>
      </c>
      <c r="AB32" s="124">
        <v>216563</v>
      </c>
      <c r="AC32" s="124">
        <v>423944</v>
      </c>
      <c r="AD32" s="124">
        <v>380340</v>
      </c>
      <c r="AE32" s="124">
        <v>437494</v>
      </c>
      <c r="AF32" s="124">
        <v>480411</v>
      </c>
      <c r="AG32" s="124">
        <v>577097</v>
      </c>
      <c r="AI32" s="149"/>
      <c r="AJ32" s="149"/>
      <c r="AL32" s="149"/>
      <c r="AM32" s="149"/>
      <c r="AN32" s="149"/>
      <c r="AO32" s="149"/>
      <c r="AP32" s="149"/>
      <c r="AQ32" s="149"/>
      <c r="AR32" s="149"/>
      <c r="AS32" s="149"/>
    </row>
    <row r="33" spans="1:45">
      <c r="A33" s="127" t="s">
        <v>155</v>
      </c>
      <c r="B33" s="156">
        <f t="shared" ref="B33:AG33" si="13">B29-B32</f>
        <v>-1523.9969999999989</v>
      </c>
      <c r="C33" s="155">
        <f t="shared" si="13"/>
        <v>-1389.142999999995</v>
      </c>
      <c r="D33" s="118">
        <f t="shared" si="13"/>
        <v>339.32800000000202</v>
      </c>
      <c r="E33" s="118">
        <f t="shared" si="13"/>
        <v>1243.1889999999978</v>
      </c>
      <c r="F33" s="118">
        <f t="shared" si="13"/>
        <v>3418.427000000002</v>
      </c>
      <c r="G33" s="118">
        <f t="shared" si="13"/>
        <v>4241.0170000000035</v>
      </c>
      <c r="H33" s="118">
        <f t="shared" si="13"/>
        <v>3889.2799999999988</v>
      </c>
      <c r="I33" s="118">
        <f t="shared" si="13"/>
        <v>3001.4159999999947</v>
      </c>
      <c r="J33" s="118">
        <f t="shared" si="13"/>
        <v>3023.2069999999926</v>
      </c>
      <c r="K33" s="118">
        <f t="shared" si="13"/>
        <v>5930.4369999999963</v>
      </c>
      <c r="L33" s="118">
        <f t="shared" si="13"/>
        <v>20386.787</v>
      </c>
      <c r="M33" s="118">
        <f t="shared" si="13"/>
        <v>65631.621000000014</v>
      </c>
      <c r="N33" s="117">
        <f t="shared" si="13"/>
        <v>97949</v>
      </c>
      <c r="O33" s="117">
        <f t="shared" si="13"/>
        <v>149406</v>
      </c>
      <c r="P33" s="117">
        <f t="shared" si="13"/>
        <v>98146</v>
      </c>
      <c r="Q33" s="117">
        <f t="shared" si="13"/>
        <v>210330</v>
      </c>
      <c r="R33" s="117">
        <f t="shared" si="13"/>
        <v>210541</v>
      </c>
      <c r="S33" s="117">
        <f t="shared" si="13"/>
        <v>285372</v>
      </c>
      <c r="T33" s="117">
        <f t="shared" si="13"/>
        <v>341489</v>
      </c>
      <c r="U33" s="117">
        <f t="shared" si="13"/>
        <v>347683</v>
      </c>
      <c r="V33" s="117">
        <f t="shared" si="13"/>
        <v>484902</v>
      </c>
      <c r="W33" s="117">
        <f t="shared" si="13"/>
        <v>389473</v>
      </c>
      <c r="X33" s="117">
        <f t="shared" si="13"/>
        <v>723991</v>
      </c>
      <c r="Y33" s="117">
        <f t="shared" si="13"/>
        <v>815006</v>
      </c>
      <c r="Z33" s="117">
        <f t="shared" si="13"/>
        <v>973698</v>
      </c>
      <c r="AA33" s="117">
        <f t="shared" si="13"/>
        <v>1081789</v>
      </c>
      <c r="AB33" s="117">
        <f t="shared" si="13"/>
        <v>1423586</v>
      </c>
      <c r="AC33" s="117">
        <f t="shared" si="13"/>
        <v>1369571</v>
      </c>
      <c r="AD33" s="117">
        <f t="shared" si="13"/>
        <v>1217138</v>
      </c>
      <c r="AE33" s="117">
        <f t="shared" si="13"/>
        <v>1400734</v>
      </c>
      <c r="AF33" s="117">
        <f t="shared" si="13"/>
        <v>1390718</v>
      </c>
      <c r="AG33" s="117">
        <f t="shared" si="13"/>
        <v>1779082</v>
      </c>
      <c r="AI33" s="146"/>
      <c r="AJ33" s="148"/>
      <c r="AL33" s="146"/>
      <c r="AM33" s="148"/>
      <c r="AO33" s="148"/>
      <c r="AP33" s="148"/>
      <c r="AR33" s="148"/>
      <c r="AS33" s="148"/>
    </row>
    <row r="34" spans="1:45">
      <c r="A34" s="147" t="s">
        <v>327</v>
      </c>
      <c r="B34" s="154">
        <f>-B33/B$6</f>
        <v>5.288805804038528E-2</v>
      </c>
      <c r="C34" s="154">
        <f>-C33/C$6</f>
        <v>4.0868355806408518E-2</v>
      </c>
      <c r="D34" s="154">
        <f t="shared" ref="D34:AG34" si="14">D33/D$6</f>
        <v>9.5409355446720891E-3</v>
      </c>
      <c r="E34" s="154">
        <f t="shared" si="14"/>
        <v>2.8873055533930457E-2</v>
      </c>
      <c r="F34" s="154">
        <f t="shared" si="14"/>
        <v>6.3461336322858997E-2</v>
      </c>
      <c r="G34" s="154">
        <f t="shared" si="14"/>
        <v>5.8656018283896973E-2</v>
      </c>
      <c r="H34" s="154">
        <f t="shared" si="14"/>
        <v>4.8778977270168992E-2</v>
      </c>
      <c r="I34" s="154">
        <f t="shared" si="14"/>
        <v>3.2525199390795609E-2</v>
      </c>
      <c r="J34" s="154">
        <f t="shared" si="14"/>
        <v>3.2844394219512914E-2</v>
      </c>
      <c r="K34" s="154">
        <f t="shared" si="14"/>
        <v>5.3740996690269729E-2</v>
      </c>
      <c r="L34" s="154">
        <f t="shared" si="14"/>
        <v>0.113045684225066</v>
      </c>
      <c r="M34" s="154">
        <f t="shared" si="14"/>
        <v>0.18811747146347363</v>
      </c>
      <c r="N34" s="154">
        <f t="shared" si="14"/>
        <v>0.16169231429543032</v>
      </c>
      <c r="O34" s="154">
        <f t="shared" si="14"/>
        <v>0.16518715483739005</v>
      </c>
      <c r="P34" s="154">
        <f t="shared" si="14"/>
        <v>9.4938961868095723E-2</v>
      </c>
      <c r="Q34" s="154">
        <f t="shared" si="14"/>
        <v>0.18396762351755752</v>
      </c>
      <c r="R34" s="154">
        <f t="shared" si="14"/>
        <v>0.16146500381151924</v>
      </c>
      <c r="S34" s="154">
        <f t="shared" si="14"/>
        <v>0.1675475420230973</v>
      </c>
      <c r="T34" s="154">
        <f t="shared" si="14"/>
        <v>0.16571488745097546</v>
      </c>
      <c r="U34" s="154">
        <f t="shared" si="14"/>
        <v>0.15477148611039393</v>
      </c>
      <c r="V34" s="154">
        <f t="shared" si="14"/>
        <v>0.19672542169618076</v>
      </c>
      <c r="W34" s="154">
        <f t="shared" si="14"/>
        <v>0.14305375374095888</v>
      </c>
      <c r="X34" s="154">
        <f t="shared" si="14"/>
        <v>0.23742134910128015</v>
      </c>
      <c r="Y34" s="154">
        <f t="shared" si="14"/>
        <v>0.24191009618452708</v>
      </c>
      <c r="Z34" s="154">
        <f t="shared" si="14"/>
        <v>0.25575287555129345</v>
      </c>
      <c r="AA34" s="154">
        <f t="shared" si="14"/>
        <v>0.25751859339809691</v>
      </c>
      <c r="AB34" s="154">
        <f t="shared" si="14"/>
        <v>0.30956687610549039</v>
      </c>
      <c r="AC34" s="154">
        <f t="shared" si="14"/>
        <v>0.24715466550401419</v>
      </c>
      <c r="AD34" s="154">
        <f t="shared" si="14"/>
        <v>0.19285824070479557</v>
      </c>
      <c r="AE34" s="154">
        <f t="shared" si="14"/>
        <v>0.19618049063399901</v>
      </c>
      <c r="AF34" s="154">
        <f t="shared" si="14"/>
        <v>0.18560950385234498</v>
      </c>
      <c r="AG34" s="154">
        <f t="shared" si="14"/>
        <v>0.21449342039508132</v>
      </c>
    </row>
    <row r="35" spans="1:45">
      <c r="A35" s="125"/>
      <c r="B35" s="144"/>
      <c r="C35" s="144"/>
      <c r="D35" s="144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</row>
    <row r="36" spans="1:45">
      <c r="A36" s="114" t="s">
        <v>330</v>
      </c>
      <c r="B36" s="153">
        <f t="shared" ref="B36:AG36" si="15">IFERROR(B33/B41,"")</f>
        <v>-0.16705240062664492</v>
      </c>
      <c r="C36" s="153">
        <f t="shared" si="15"/>
        <v>-0.15227042636153401</v>
      </c>
      <c r="D36" s="152">
        <f t="shared" si="15"/>
        <v>3.6811994968466343E-2</v>
      </c>
      <c r="E36" s="151">
        <f t="shared" si="15"/>
        <v>0.13623048490898687</v>
      </c>
      <c r="F36" s="151">
        <f t="shared" si="15"/>
        <v>0.36417818510639771</v>
      </c>
      <c r="G36" s="151">
        <f t="shared" si="15"/>
        <v>0.42560075096504946</v>
      </c>
      <c r="H36" s="151">
        <f t="shared" si="15"/>
        <v>0.39057846742981805</v>
      </c>
      <c r="I36" s="151">
        <f t="shared" si="15"/>
        <v>0.29904866683730913</v>
      </c>
      <c r="J36" s="151">
        <f t="shared" si="15"/>
        <v>0.3007418354381326</v>
      </c>
      <c r="K36" s="151">
        <f t="shared" si="15"/>
        <v>0.57696315977394019</v>
      </c>
      <c r="L36" s="151">
        <f t="shared" si="15"/>
        <v>0.23999979987054368</v>
      </c>
      <c r="M36" s="151">
        <f t="shared" si="15"/>
        <v>0.74229751378138675</v>
      </c>
      <c r="N36" s="151">
        <f t="shared" si="15"/>
        <v>1.0890966909802526</v>
      </c>
      <c r="O36" s="151">
        <f t="shared" si="15"/>
        <v>1.6386189651012306</v>
      </c>
      <c r="P36" s="151">
        <f t="shared" si="15"/>
        <v>1.0608658055450468</v>
      </c>
      <c r="Q36" s="151">
        <f t="shared" si="15"/>
        <v>2.3378572143119145</v>
      </c>
      <c r="R36" s="151">
        <f t="shared" si="15"/>
        <v>2.3786180717174683</v>
      </c>
      <c r="S36" s="151">
        <f t="shared" si="15"/>
        <v>1.6194810796086532</v>
      </c>
      <c r="T36" s="151">
        <f t="shared" si="15"/>
        <v>1.9658342543980842</v>
      </c>
      <c r="U36" s="151">
        <f t="shared" si="15"/>
        <v>2.0859436401706275</v>
      </c>
      <c r="V36" s="151">
        <f t="shared" si="15"/>
        <v>2.8991432346628243</v>
      </c>
      <c r="W36" s="151">
        <f t="shared" si="15"/>
        <v>2.0627118464536904</v>
      </c>
      <c r="X36" s="151">
        <f t="shared" si="15"/>
        <v>1.2315411125513289</v>
      </c>
      <c r="Y36" s="151">
        <f t="shared" si="15"/>
        <v>1.4379532165806252</v>
      </c>
      <c r="Z36" s="151">
        <f t="shared" si="15"/>
        <v>1.7475904847029431</v>
      </c>
      <c r="AA36" s="151">
        <f t="shared" si="15"/>
        <v>1.9952175524861164</v>
      </c>
      <c r="AB36" s="151">
        <f t="shared" si="15"/>
        <v>2.6878420962202556</v>
      </c>
      <c r="AC36" s="151">
        <f t="shared" si="15"/>
        <v>2.5901415189792023</v>
      </c>
      <c r="AD36" s="151">
        <f t="shared" si="15"/>
        <v>1.1552643518439421</v>
      </c>
      <c r="AE36" s="151">
        <f t="shared" si="15"/>
        <v>1.3405602711106559</v>
      </c>
      <c r="AF36" s="151">
        <f t="shared" si="15"/>
        <v>1.3843968440102492</v>
      </c>
      <c r="AG36" s="151">
        <f t="shared" si="15"/>
        <v>1.8230409873274263</v>
      </c>
    </row>
    <row r="37" spans="1:45">
      <c r="A37" s="114" t="s">
        <v>329</v>
      </c>
      <c r="B37" s="153">
        <f t="shared" ref="B37:AG37" si="16">IFERROR(B33/B42,"")</f>
        <v>-0.16705240062664492</v>
      </c>
      <c r="C37" s="153">
        <f t="shared" si="16"/>
        <v>-0.15227042636153401</v>
      </c>
      <c r="D37" s="152">
        <f t="shared" si="16"/>
        <v>3.6811994968466343E-2</v>
      </c>
      <c r="E37" s="151">
        <f t="shared" si="16"/>
        <v>0.13383969368181031</v>
      </c>
      <c r="F37" s="151">
        <f t="shared" si="16"/>
        <v>0.32772662921769513</v>
      </c>
      <c r="G37" s="151">
        <f t="shared" si="16"/>
        <v>0.40349888550648505</v>
      </c>
      <c r="H37" s="151">
        <f t="shared" si="16"/>
        <v>0.37376427138079943</v>
      </c>
      <c r="I37" s="151">
        <f t="shared" si="16"/>
        <v>0.290978568486919</v>
      </c>
      <c r="J37" s="151">
        <f t="shared" si="16"/>
        <v>0.29239098518666601</v>
      </c>
      <c r="K37" s="151">
        <f t="shared" si="16"/>
        <v>0.55104538987862717</v>
      </c>
      <c r="L37" s="151">
        <f t="shared" si="16"/>
        <v>0.21999981654799841</v>
      </c>
      <c r="M37" s="151">
        <f t="shared" si="16"/>
        <v>0.67956814641957952</v>
      </c>
      <c r="N37" s="151">
        <f t="shared" si="16"/>
        <v>0.99353863631752992</v>
      </c>
      <c r="O37" s="151">
        <f t="shared" si="16"/>
        <v>1.5110747011347776</v>
      </c>
      <c r="P37" s="151">
        <f t="shared" si="16"/>
        <v>1.0063160053316929</v>
      </c>
      <c r="Q37" s="151">
        <f t="shared" si="16"/>
        <v>2.2223513624885096</v>
      </c>
      <c r="R37" s="151">
        <f t="shared" si="16"/>
        <v>2.2633706367379407</v>
      </c>
      <c r="S37" s="151">
        <f t="shared" si="16"/>
        <v>1.5287185146297824</v>
      </c>
      <c r="T37" s="151">
        <f t="shared" si="16"/>
        <v>1.8652141378500462</v>
      </c>
      <c r="U37" s="151">
        <f t="shared" si="16"/>
        <v>2.0052426075772694</v>
      </c>
      <c r="V37" s="151">
        <f t="shared" si="16"/>
        <v>2.7822359927704623</v>
      </c>
      <c r="W37" s="151">
        <f t="shared" si="16"/>
        <v>2.0223328798562719</v>
      </c>
      <c r="X37" s="151">
        <f t="shared" si="16"/>
        <v>1.2070157830945669</v>
      </c>
      <c r="Y37" s="151">
        <f t="shared" si="16"/>
        <v>1.4121436529374971</v>
      </c>
      <c r="Z37" s="151">
        <f t="shared" si="16"/>
        <v>1.7256377447036264</v>
      </c>
      <c r="AA37" s="151">
        <f t="shared" si="16"/>
        <v>1.9790947077247314</v>
      </c>
      <c r="AB37" s="151">
        <f t="shared" si="16"/>
        <v>2.6618686741198228</v>
      </c>
      <c r="AC37" s="151">
        <f t="shared" si="16"/>
        <v>2.5568918618696546</v>
      </c>
      <c r="AD37" s="151">
        <f t="shared" si="16"/>
        <v>1.141307262842236</v>
      </c>
      <c r="AE37" s="151">
        <f t="shared" si="16"/>
        <v>1.3239689559642376</v>
      </c>
      <c r="AF37" s="151">
        <f t="shared" si="16"/>
        <v>1.3727256844538631</v>
      </c>
      <c r="AG37" s="151">
        <f t="shared" si="16"/>
        <v>1.8071818709107919</v>
      </c>
    </row>
    <row r="38" spans="1:45">
      <c r="A38" s="147" t="s">
        <v>321</v>
      </c>
      <c r="B38" s="152"/>
      <c r="C38" s="109">
        <f t="shared" ref="C38:AG38" si="17">C36/B36-1</f>
        <v>-8.84870508275305E-2</v>
      </c>
      <c r="D38" s="109">
        <f t="shared" si="17"/>
        <v>-1.2417540677338357</v>
      </c>
      <c r="E38" s="109">
        <f t="shared" si="17"/>
        <v>2.7007091038039031</v>
      </c>
      <c r="F38" s="109">
        <f t="shared" si="17"/>
        <v>1.6732503033348123</v>
      </c>
      <c r="G38" s="109">
        <f t="shared" si="17"/>
        <v>0.16866075006855952</v>
      </c>
      <c r="H38" s="109">
        <f t="shared" si="17"/>
        <v>-8.2289054837940023E-2</v>
      </c>
      <c r="I38" s="109">
        <f t="shared" si="17"/>
        <v>-0.2343442053905741</v>
      </c>
      <c r="J38" s="109">
        <f t="shared" si="17"/>
        <v>5.6618496873106494E-3</v>
      </c>
      <c r="K38" s="109">
        <f t="shared" si="17"/>
        <v>0.9184665775993468</v>
      </c>
      <c r="L38" s="109">
        <f t="shared" si="17"/>
        <v>-0.58402924726670946</v>
      </c>
      <c r="M38" s="109">
        <f t="shared" si="17"/>
        <v>2.0929088865148362</v>
      </c>
      <c r="N38" s="109">
        <f t="shared" si="17"/>
        <v>0.467197007615199</v>
      </c>
      <c r="O38" s="109">
        <f t="shared" si="17"/>
        <v>0.50456702207622617</v>
      </c>
      <c r="P38" s="109">
        <f t="shared" si="17"/>
        <v>-0.35258542215181266</v>
      </c>
      <c r="Q38" s="109">
        <f t="shared" si="17"/>
        <v>1.203725675850944</v>
      </c>
      <c r="R38" s="109">
        <f t="shared" si="17"/>
        <v>1.7435135540367241E-2</v>
      </c>
      <c r="S38" s="109">
        <f t="shared" si="17"/>
        <v>-0.31915043492488238</v>
      </c>
      <c r="T38" s="109">
        <f t="shared" si="17"/>
        <v>0.21386676210698741</v>
      </c>
      <c r="U38" s="109">
        <f t="shared" si="17"/>
        <v>6.1098429587248981E-2</v>
      </c>
      <c r="V38" s="109">
        <f t="shared" si="17"/>
        <v>0.38984734718224612</v>
      </c>
      <c r="W38" s="109">
        <f t="shared" si="17"/>
        <v>-0.28850985291398079</v>
      </c>
      <c r="X38" s="109">
        <f t="shared" si="17"/>
        <v>-0.40295048255593657</v>
      </c>
      <c r="Y38" s="109">
        <f t="shared" si="17"/>
        <v>0.16760472056160713</v>
      </c>
      <c r="Z38" s="109">
        <f t="shared" si="17"/>
        <v>0.21533194860026006</v>
      </c>
      <c r="AA38" s="109">
        <f t="shared" si="17"/>
        <v>0.14169627836195575</v>
      </c>
      <c r="AB38" s="109">
        <f t="shared" si="17"/>
        <v>0.34714236694194223</v>
      </c>
      <c r="AC38" s="109">
        <f t="shared" si="17"/>
        <v>-3.6349076226778188E-2</v>
      </c>
      <c r="AD38" s="109">
        <f t="shared" si="17"/>
        <v>-0.55397635867431605</v>
      </c>
      <c r="AE38" s="109">
        <f t="shared" si="17"/>
        <v>0.16039265729177843</v>
      </c>
      <c r="AF38" s="109">
        <f t="shared" si="17"/>
        <v>3.2700188006671738E-2</v>
      </c>
      <c r="AG38" s="109">
        <f t="shared" si="17"/>
        <v>0.3168485577058493</v>
      </c>
    </row>
    <row r="39" spans="1:45">
      <c r="A39" s="147" t="s">
        <v>321</v>
      </c>
      <c r="B39" s="152"/>
      <c r="C39" s="109">
        <f t="shared" ref="C39:AG39" si="18">C37/B37-1</f>
        <v>-8.84870508275305E-2</v>
      </c>
      <c r="D39" s="109">
        <f t="shared" si="18"/>
        <v>-1.2417540677338357</v>
      </c>
      <c r="E39" s="109">
        <f t="shared" si="18"/>
        <v>2.6357631200498428</v>
      </c>
      <c r="F39" s="109">
        <f t="shared" si="18"/>
        <v>1.4486504728323006</v>
      </c>
      <c r="G39" s="109">
        <f t="shared" si="18"/>
        <v>0.23120567428305483</v>
      </c>
      <c r="H39" s="109">
        <f t="shared" si="18"/>
        <v>-7.3691936195466212E-2</v>
      </c>
      <c r="I39" s="109">
        <f t="shared" si="18"/>
        <v>-0.2214917509050417</v>
      </c>
      <c r="J39" s="109">
        <f t="shared" si="18"/>
        <v>4.8540231230482789E-3</v>
      </c>
      <c r="K39" s="109">
        <f t="shared" si="18"/>
        <v>0.88461826046665903</v>
      </c>
      <c r="L39" s="109">
        <f t="shared" si="18"/>
        <v>-0.6007591741281868</v>
      </c>
      <c r="M39" s="109">
        <f t="shared" si="18"/>
        <v>2.0889486958790937</v>
      </c>
      <c r="N39" s="109">
        <f t="shared" si="18"/>
        <v>0.46201472442779634</v>
      </c>
      <c r="O39" s="109">
        <f t="shared" si="18"/>
        <v>0.52090180079503789</v>
      </c>
      <c r="P39" s="109">
        <f t="shared" si="18"/>
        <v>-0.33403953849801349</v>
      </c>
      <c r="Q39" s="109">
        <f t="shared" si="18"/>
        <v>1.2084030768804062</v>
      </c>
      <c r="R39" s="109">
        <f t="shared" si="18"/>
        <v>1.8457600783477801E-2</v>
      </c>
      <c r="S39" s="109">
        <f t="shared" si="18"/>
        <v>-0.32458321681108671</v>
      </c>
      <c r="T39" s="109">
        <f t="shared" si="18"/>
        <v>0.22011614303091931</v>
      </c>
      <c r="U39" s="109">
        <f t="shared" si="18"/>
        <v>7.5073669497609519E-2</v>
      </c>
      <c r="V39" s="109">
        <f t="shared" si="18"/>
        <v>0.38748098721678126</v>
      </c>
      <c r="W39" s="109">
        <f t="shared" si="18"/>
        <v>-0.2731267638290823</v>
      </c>
      <c r="X39" s="109">
        <f t="shared" si="18"/>
        <v>-0.40315672305127626</v>
      </c>
      <c r="Y39" s="109">
        <f t="shared" si="18"/>
        <v>0.16994630287022416</v>
      </c>
      <c r="Z39" s="109">
        <f t="shared" si="18"/>
        <v>0.22199872591857672</v>
      </c>
      <c r="AA39" s="109">
        <f t="shared" si="18"/>
        <v>0.14687727119960248</v>
      </c>
      <c r="AB39" s="109">
        <f t="shared" si="18"/>
        <v>0.3449930737170448</v>
      </c>
      <c r="AC39" s="109">
        <f t="shared" si="18"/>
        <v>-3.9437261977200988E-2</v>
      </c>
      <c r="AD39" s="109">
        <f t="shared" si="18"/>
        <v>-0.55363491125209829</v>
      </c>
      <c r="AE39" s="109">
        <f t="shared" si="18"/>
        <v>0.16004602710326488</v>
      </c>
      <c r="AF39" s="109">
        <f t="shared" si="18"/>
        <v>3.6826187102035446E-2</v>
      </c>
      <c r="AG39" s="109">
        <f t="shared" si="18"/>
        <v>0.31649162784462392</v>
      </c>
    </row>
    <row r="40" spans="1:45">
      <c r="B40" s="152"/>
      <c r="C40" s="152"/>
      <c r="D40" s="152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</row>
    <row r="41" spans="1:45">
      <c r="A41" s="114" t="s">
        <v>192</v>
      </c>
      <c r="B41" s="123">
        <v>9122.8680000000004</v>
      </c>
      <c r="C41" s="123">
        <v>9122.8680000000004</v>
      </c>
      <c r="D41" s="123">
        <v>9217.8649999999998</v>
      </c>
      <c r="E41" s="124">
        <v>9125.6299999999992</v>
      </c>
      <c r="F41" s="124">
        <v>9386.6880000000001</v>
      </c>
      <c r="G41" s="124">
        <v>9964.7780000000002</v>
      </c>
      <c r="H41" s="124">
        <v>9957.7430000000004</v>
      </c>
      <c r="I41" s="124">
        <v>10036.547</v>
      </c>
      <c r="J41" s="124">
        <v>10052.499</v>
      </c>
      <c r="K41" s="124">
        <v>10278.709999999999</v>
      </c>
      <c r="L41" s="124">
        <v>84945.016666666677</v>
      </c>
      <c r="M41" s="124">
        <v>88416.867605633815</v>
      </c>
      <c r="N41" s="124">
        <v>89936</v>
      </c>
      <c r="O41" s="124">
        <v>91178</v>
      </c>
      <c r="P41" s="124">
        <v>92515</v>
      </c>
      <c r="Q41" s="124">
        <v>89967</v>
      </c>
      <c r="R41" s="124">
        <v>88514</v>
      </c>
      <c r="S41" s="124">
        <v>176212</v>
      </c>
      <c r="T41" s="124">
        <v>173712</v>
      </c>
      <c r="U41" s="124">
        <v>166679</v>
      </c>
      <c r="V41" s="124">
        <v>167257</v>
      </c>
      <c r="W41" s="124">
        <v>188816</v>
      </c>
      <c r="X41" s="124">
        <v>587874</v>
      </c>
      <c r="Y41" s="124">
        <v>566782</v>
      </c>
      <c r="Z41" s="124">
        <v>557166</v>
      </c>
      <c r="AA41" s="124">
        <v>542191</v>
      </c>
      <c r="AB41" s="124">
        <v>529639</v>
      </c>
      <c r="AC41" s="124">
        <v>528763</v>
      </c>
      <c r="AD41" s="124">
        <v>1053558</v>
      </c>
      <c r="AE41" s="124">
        <v>1044887</v>
      </c>
      <c r="AF41" s="124">
        <v>1004566</v>
      </c>
      <c r="AG41" s="124">
        <v>975887</v>
      </c>
    </row>
    <row r="42" spans="1:45">
      <c r="A42" s="114" t="s">
        <v>193</v>
      </c>
      <c r="B42" s="123">
        <v>9122.8680000000004</v>
      </c>
      <c r="C42" s="123">
        <v>9122.8680000000004</v>
      </c>
      <c r="D42" s="123">
        <v>9217.8649999999998</v>
      </c>
      <c r="E42" s="124">
        <v>9288.6419999999998</v>
      </c>
      <c r="F42" s="124">
        <v>10430.727000000001</v>
      </c>
      <c r="G42" s="124">
        <v>10510.603999999999</v>
      </c>
      <c r="H42" s="124">
        <v>10405.703</v>
      </c>
      <c r="I42" s="124">
        <v>10314.904</v>
      </c>
      <c r="J42" s="124">
        <v>10339.603999999999</v>
      </c>
      <c r="K42" s="124">
        <v>10762.156999999999</v>
      </c>
      <c r="L42" s="124">
        <v>92667.290909090909</v>
      </c>
      <c r="M42" s="124">
        <v>96578.424615384618</v>
      </c>
      <c r="N42" s="124">
        <v>98586</v>
      </c>
      <c r="O42" s="124">
        <v>98874</v>
      </c>
      <c r="P42" s="124">
        <v>97530</v>
      </c>
      <c r="Q42" s="124">
        <v>94643</v>
      </c>
      <c r="R42" s="124">
        <v>93021</v>
      </c>
      <c r="S42" s="124">
        <v>186674</v>
      </c>
      <c r="T42" s="124">
        <v>183083</v>
      </c>
      <c r="U42" s="124">
        <v>173387</v>
      </c>
      <c r="V42" s="124">
        <v>174285</v>
      </c>
      <c r="W42" s="124">
        <v>192586</v>
      </c>
      <c r="X42" s="124">
        <v>599819</v>
      </c>
      <c r="Y42" s="124">
        <v>577141</v>
      </c>
      <c r="Z42" s="124">
        <v>564254</v>
      </c>
      <c r="AA42" s="124">
        <v>546608</v>
      </c>
      <c r="AB42" s="124">
        <v>534807</v>
      </c>
      <c r="AC42" s="124">
        <v>535639</v>
      </c>
      <c r="AD42" s="124">
        <v>1066442</v>
      </c>
      <c r="AE42" s="124">
        <v>1057981</v>
      </c>
      <c r="AF42" s="124">
        <v>1013107</v>
      </c>
      <c r="AG42" s="124">
        <v>984451</v>
      </c>
    </row>
    <row r="43" spans="1:45">
      <c r="B43" s="123"/>
      <c r="C43" s="123"/>
      <c r="D43" s="123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</row>
    <row r="44" spans="1:45">
      <c r="B44" s="123"/>
      <c r="C44" s="123"/>
      <c r="D44" s="123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</row>
    <row r="45" spans="1:45"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</row>
    <row r="46" spans="1:45"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</row>
    <row r="47" spans="1:45" ht="17.399999999999999">
      <c r="A47" s="138" t="s">
        <v>328</v>
      </c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</row>
    <row r="48" spans="1:45">
      <c r="A48" s="125" t="s">
        <v>189</v>
      </c>
    </row>
    <row r="49" spans="1:45">
      <c r="A49" s="114" t="s">
        <v>124</v>
      </c>
      <c r="B49" s="123"/>
      <c r="C49" s="123">
        <v>87.915999999999997</v>
      </c>
      <c r="D49" s="123">
        <v>186.93100000000001</v>
      </c>
      <c r="E49" s="124">
        <v>395.23099999999999</v>
      </c>
      <c r="F49" s="124">
        <v>3806.0889999999999</v>
      </c>
      <c r="G49" s="124">
        <v>2009.155</v>
      </c>
      <c r="H49" s="124">
        <v>130.66499999999999</v>
      </c>
      <c r="I49" s="124">
        <v>247.65700000000001</v>
      </c>
      <c r="J49" s="124">
        <v>537.91999999999996</v>
      </c>
      <c r="K49" s="124">
        <v>1098.7850000000001</v>
      </c>
      <c r="L49" s="124">
        <v>20976.118999999999</v>
      </c>
      <c r="M49" s="124">
        <v>61654.284</v>
      </c>
      <c r="N49" s="124">
        <v>35129</v>
      </c>
      <c r="O49" s="124">
        <v>12440</v>
      </c>
      <c r="P49" s="124">
        <v>256801</v>
      </c>
      <c r="Q49" s="124">
        <v>328349</v>
      </c>
      <c r="R49" s="124">
        <v>354842</v>
      </c>
      <c r="S49" s="124">
        <v>359331</v>
      </c>
      <c r="T49" s="124">
        <v>222514</v>
      </c>
      <c r="U49" s="124">
        <v>211349</v>
      </c>
      <c r="V49" s="124">
        <v>370323</v>
      </c>
      <c r="W49" s="124">
        <v>2175417</v>
      </c>
      <c r="X49" s="124">
        <v>377582</v>
      </c>
      <c r="Y49" s="124">
        <v>528622</v>
      </c>
      <c r="Z49" s="124">
        <v>637513</v>
      </c>
      <c r="AA49" s="124">
        <v>797957</v>
      </c>
      <c r="AB49" s="124">
        <v>1180413</v>
      </c>
      <c r="AC49" s="124">
        <v>1326462</v>
      </c>
      <c r="AD49" s="124">
        <v>1307141</v>
      </c>
      <c r="AE49" s="124">
        <v>2297675</v>
      </c>
      <c r="AF49" s="124">
        <v>1533287</v>
      </c>
      <c r="AG49" s="124">
        <v>2088117</v>
      </c>
    </row>
    <row r="50" spans="1:45">
      <c r="A50" s="114" t="s">
        <v>125</v>
      </c>
      <c r="B50" s="123"/>
      <c r="C50" s="123"/>
      <c r="D50" s="123"/>
      <c r="E50" s="124"/>
      <c r="F50" s="124"/>
      <c r="G50" s="124"/>
      <c r="H50" s="124"/>
      <c r="I50" s="124"/>
      <c r="J50" s="124"/>
      <c r="K50" s="124"/>
      <c r="L50" s="124"/>
      <c r="M50" s="124">
        <v>11860.665000000001</v>
      </c>
      <c r="N50" s="124">
        <v>101667</v>
      </c>
      <c r="O50" s="124">
        <v>63125</v>
      </c>
      <c r="P50" s="124">
        <v>29145</v>
      </c>
      <c r="Q50" s="124">
        <v>18487</v>
      </c>
      <c r="R50" s="124">
        <v>244649</v>
      </c>
      <c r="S50" s="124">
        <v>411282</v>
      </c>
      <c r="T50" s="124">
        <v>97042</v>
      </c>
      <c r="U50" s="124">
        <v>402247</v>
      </c>
      <c r="V50" s="124">
        <v>781134</v>
      </c>
      <c r="W50" s="124">
        <v>744610</v>
      </c>
      <c r="X50" s="124">
        <v>220554</v>
      </c>
      <c r="Y50" s="124">
        <v>672933</v>
      </c>
      <c r="Z50" s="124">
        <v>320650</v>
      </c>
      <c r="AA50" s="124">
        <v>533063</v>
      </c>
      <c r="AB50" s="124">
        <v>881354</v>
      </c>
      <c r="AC50" s="124">
        <v>1749727</v>
      </c>
      <c r="AD50" s="124">
        <v>1362314</v>
      </c>
      <c r="AE50" s="124">
        <v>955605</v>
      </c>
      <c r="AF50" s="124">
        <v>0</v>
      </c>
      <c r="AG50" s="124">
        <v>677084</v>
      </c>
    </row>
    <row r="51" spans="1:45">
      <c r="A51" s="114" t="s">
        <v>126</v>
      </c>
      <c r="B51" s="123"/>
      <c r="C51" s="123">
        <v>1729.155</v>
      </c>
      <c r="D51" s="123">
        <v>944.22699999999998</v>
      </c>
      <c r="E51" s="124">
        <v>1541.731</v>
      </c>
      <c r="F51" s="124">
        <v>1827.5440000000001</v>
      </c>
      <c r="G51" s="124">
        <v>3751.2579999999998</v>
      </c>
      <c r="H51" s="124">
        <v>6584.4859999999999</v>
      </c>
      <c r="I51" s="124">
        <v>4412.4219999999996</v>
      </c>
      <c r="J51" s="124">
        <v>5949.402</v>
      </c>
      <c r="K51" s="124">
        <v>5372.9830000000002</v>
      </c>
      <c r="L51" s="124">
        <v>12650.055</v>
      </c>
      <c r="M51" s="124">
        <v>28751.588</v>
      </c>
      <c r="N51" s="124">
        <v>54624</v>
      </c>
      <c r="O51" s="124">
        <v>81497</v>
      </c>
      <c r="P51" s="124">
        <f>45233+90722</f>
        <v>135955</v>
      </c>
      <c r="Q51" s="124">
        <v>108905</v>
      </c>
      <c r="R51" s="124">
        <v>101635</v>
      </c>
      <c r="S51" s="124">
        <v>218741</v>
      </c>
      <c r="T51" s="124">
        <v>236710</v>
      </c>
      <c r="U51" s="124">
        <f>291638+4542</f>
        <v>296180</v>
      </c>
      <c r="V51" s="124">
        <f>280203+552</f>
        <v>280755</v>
      </c>
      <c r="W51" s="124">
        <f>352955+125000</f>
        <v>477955</v>
      </c>
      <c r="X51" s="124">
        <f>448051+125000</f>
        <v>573051</v>
      </c>
      <c r="Y51" s="124">
        <v>449476</v>
      </c>
      <c r="Z51" s="124">
        <v>484562</v>
      </c>
      <c r="AA51" s="124">
        <v>540330</v>
      </c>
      <c r="AB51" s="124">
        <v>666012</v>
      </c>
      <c r="AC51" s="124">
        <v>896658</v>
      </c>
      <c r="AD51" s="124">
        <v>1016203</v>
      </c>
      <c r="AE51" s="124">
        <v>1193964</v>
      </c>
      <c r="AF51" s="124">
        <v>1221646</v>
      </c>
      <c r="AG51" s="124">
        <v>1618072</v>
      </c>
    </row>
    <row r="52" spans="1:45">
      <c r="A52" s="147" t="s">
        <v>327</v>
      </c>
      <c r="B52" s="123"/>
      <c r="C52" s="150">
        <f t="shared" ref="C52:AG52" si="19">C51/C6</f>
        <v>5.087145224388747E-2</v>
      </c>
      <c r="D52" s="150">
        <f t="shared" si="19"/>
        <v>2.6548970160255089E-2</v>
      </c>
      <c r="E52" s="150">
        <f t="shared" si="19"/>
        <v>3.5806691324796323E-2</v>
      </c>
      <c r="F52" s="150">
        <f t="shared" si="19"/>
        <v>3.3927412938413767E-2</v>
      </c>
      <c r="G52" s="150">
        <f t="shared" si="19"/>
        <v>5.1882333373248581E-2</v>
      </c>
      <c r="H52" s="150">
        <f t="shared" si="19"/>
        <v>8.258199279294523E-2</v>
      </c>
      <c r="I52" s="150">
        <f t="shared" si="19"/>
        <v>4.781573275625018E-2</v>
      </c>
      <c r="J52" s="150">
        <f t="shared" si="19"/>
        <v>6.4634841298779416E-2</v>
      </c>
      <c r="K52" s="150">
        <f t="shared" si="19"/>
        <v>4.8689407141476369E-2</v>
      </c>
      <c r="L52" s="150">
        <f t="shared" si="19"/>
        <v>7.0145144644897572E-2</v>
      </c>
      <c r="M52" s="150">
        <f t="shared" si="19"/>
        <v>8.2409606112266373E-2</v>
      </c>
      <c r="N52" s="150">
        <f t="shared" si="19"/>
        <v>9.0172242453456244E-2</v>
      </c>
      <c r="O52" s="150">
        <f t="shared" si="19"/>
        <v>9.0105200311786524E-2</v>
      </c>
      <c r="P52" s="150">
        <f t="shared" si="19"/>
        <v>0.13151250749675947</v>
      </c>
      <c r="Q52" s="150">
        <f t="shared" si="19"/>
        <v>9.5255047017446873E-2</v>
      </c>
      <c r="R52" s="150">
        <f t="shared" si="19"/>
        <v>7.7944417773183158E-2</v>
      </c>
      <c r="S52" s="150">
        <f t="shared" si="19"/>
        <v>0.12842716485735925</v>
      </c>
      <c r="T52" s="150">
        <f t="shared" si="19"/>
        <v>0.11486862244031402</v>
      </c>
      <c r="U52" s="150">
        <f t="shared" si="19"/>
        <v>0.13184486660600742</v>
      </c>
      <c r="V52" s="150">
        <f t="shared" si="19"/>
        <v>0.11390269738691783</v>
      </c>
      <c r="W52" s="150">
        <f t="shared" si="19"/>
        <v>0.17555326523086326</v>
      </c>
      <c r="X52" s="150">
        <f t="shared" si="19"/>
        <v>0.18792297352292736</v>
      </c>
      <c r="Y52" s="150">
        <f t="shared" si="19"/>
        <v>0.13341347473839027</v>
      </c>
      <c r="Z52" s="150">
        <f t="shared" si="19"/>
        <v>0.12727573116396035</v>
      </c>
      <c r="AA52" s="150">
        <f t="shared" si="19"/>
        <v>0.12862491814096252</v>
      </c>
      <c r="AB52" s="150">
        <f t="shared" si="19"/>
        <v>0.14482809910238639</v>
      </c>
      <c r="AC52" s="150">
        <f t="shared" si="19"/>
        <v>0.16181213537779227</v>
      </c>
      <c r="AD52" s="150">
        <f t="shared" si="19"/>
        <v>0.16101964015496628</v>
      </c>
      <c r="AE52" s="150">
        <f t="shared" si="19"/>
        <v>0.1672212163903582</v>
      </c>
      <c r="AF52" s="150">
        <f t="shared" si="19"/>
        <v>0.16304463445731043</v>
      </c>
      <c r="AG52" s="150">
        <f t="shared" si="19"/>
        <v>0.19508139463246216</v>
      </c>
    </row>
    <row r="53" spans="1:45">
      <c r="A53" s="114" t="s">
        <v>127</v>
      </c>
      <c r="B53" s="123"/>
      <c r="C53" s="123">
        <v>3120.5189999999998</v>
      </c>
      <c r="D53" s="123">
        <v>3111.1239999999998</v>
      </c>
      <c r="E53" s="124">
        <v>3915.9830000000002</v>
      </c>
      <c r="F53" s="124">
        <v>5211.0770000000002</v>
      </c>
      <c r="G53" s="124">
        <v>9894.4140000000007</v>
      </c>
      <c r="H53" s="124">
        <v>10907.895</v>
      </c>
      <c r="I53" s="124">
        <v>11956.68</v>
      </c>
      <c r="J53" s="124">
        <v>11643.734</v>
      </c>
      <c r="K53" s="124">
        <v>17643.786</v>
      </c>
      <c r="L53" s="124">
        <v>22406.054</v>
      </c>
      <c r="M53" s="124">
        <v>31399.628000000001</v>
      </c>
      <c r="N53" s="124">
        <v>77013</v>
      </c>
      <c r="O53" s="124">
        <v>98140</v>
      </c>
      <c r="P53" s="124">
        <v>116326</v>
      </c>
      <c r="Q53" s="124">
        <v>108143</v>
      </c>
      <c r="R53" s="124">
        <v>153241</v>
      </c>
      <c r="S53" s="124">
        <v>155613</v>
      </c>
      <c r="T53" s="124">
        <v>203106</v>
      </c>
      <c r="U53" s="124">
        <v>221449</v>
      </c>
      <c r="V53" s="124">
        <v>174573</v>
      </c>
      <c r="W53" s="124">
        <v>156121</v>
      </c>
      <c r="X53" s="124">
        <v>161971</v>
      </c>
      <c r="Y53" s="124">
        <v>255745</v>
      </c>
      <c r="Z53" s="124">
        <v>277705</v>
      </c>
      <c r="AA53" s="124">
        <v>360731</v>
      </c>
      <c r="AB53" s="124">
        <v>333085</v>
      </c>
      <c r="AC53" s="124">
        <v>593357</v>
      </c>
      <c r="AD53" s="124">
        <v>935631</v>
      </c>
      <c r="AE53" s="124">
        <v>971406</v>
      </c>
      <c r="AF53" s="124">
        <v>737107</v>
      </c>
      <c r="AG53" s="124">
        <v>799623</v>
      </c>
    </row>
    <row r="54" spans="1:45">
      <c r="A54" s="114" t="s">
        <v>128</v>
      </c>
      <c r="B54" s="123"/>
      <c r="C54" s="123">
        <v>487.50700000000001</v>
      </c>
      <c r="D54" s="123">
        <v>331.86900000000003</v>
      </c>
      <c r="E54" s="124">
        <v>214.46799999999999</v>
      </c>
      <c r="F54" s="124">
        <v>244.31800000000001</v>
      </c>
      <c r="G54" s="124">
        <v>553.68899999999996</v>
      </c>
      <c r="H54" s="124">
        <v>823.38699999999994</v>
      </c>
      <c r="I54" s="124">
        <v>974.15499999999997</v>
      </c>
      <c r="J54" s="124">
        <v>1627.6849999999999</v>
      </c>
      <c r="K54" s="124">
        <v>481.77699999999999</v>
      </c>
      <c r="L54" s="124">
        <v>638.96699999999998</v>
      </c>
      <c r="M54" s="124">
        <v>477.23700000000002</v>
      </c>
      <c r="N54" s="124">
        <v>771</v>
      </c>
      <c r="O54" s="124">
        <v>3755</v>
      </c>
      <c r="P54" s="124">
        <v>8379</v>
      </c>
      <c r="Q54" s="124">
        <v>11270</v>
      </c>
      <c r="R54" s="124">
        <v>17022</v>
      </c>
      <c r="S54" s="124">
        <v>20912</v>
      </c>
      <c r="T54" s="124">
        <v>24983</v>
      </c>
      <c r="U54" s="124">
        <v>21376</v>
      </c>
      <c r="V54" s="124">
        <v>19673</v>
      </c>
      <c r="W54" s="124">
        <v>26967</v>
      </c>
      <c r="X54" s="124">
        <v>32562</v>
      </c>
      <c r="Y54" s="124">
        <v>40877</v>
      </c>
      <c r="Z54" s="124">
        <v>44909</v>
      </c>
      <c r="AA54" s="124">
        <v>54868</v>
      </c>
      <c r="AB54" s="124">
        <v>55358</v>
      </c>
      <c r="AC54" s="124">
        <v>82668</v>
      </c>
      <c r="AD54" s="124">
        <v>109823</v>
      </c>
      <c r="AE54" s="124">
        <v>116195</v>
      </c>
      <c r="AF54" s="124">
        <v>107262</v>
      </c>
      <c r="AG54" s="124">
        <v>103551</v>
      </c>
    </row>
    <row r="55" spans="1:45">
      <c r="A55" s="114" t="s">
        <v>157</v>
      </c>
      <c r="B55" s="123"/>
      <c r="C55" s="123"/>
      <c r="D55" s="123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>
        <v>0</v>
      </c>
      <c r="V55" s="124">
        <v>18079</v>
      </c>
      <c r="W55" s="124">
        <v>0</v>
      </c>
      <c r="X55" s="124">
        <v>0</v>
      </c>
      <c r="Y55" s="124"/>
      <c r="Z55" s="124"/>
      <c r="AA55" s="124"/>
      <c r="AB55" s="124"/>
      <c r="AC55" s="124"/>
      <c r="AD55" s="124"/>
      <c r="AE55" s="124"/>
      <c r="AF55" s="124"/>
      <c r="AG55" s="124"/>
    </row>
    <row r="56" spans="1:45">
      <c r="A56" s="114" t="s">
        <v>158</v>
      </c>
      <c r="B56" s="123"/>
      <c r="C56" s="123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4">
        <v>638</v>
      </c>
      <c r="N56" s="124">
        <v>0</v>
      </c>
      <c r="O56" s="124">
        <v>0</v>
      </c>
      <c r="P56" s="124">
        <v>4977</v>
      </c>
      <c r="Q56" s="124">
        <v>0</v>
      </c>
      <c r="R56" s="124">
        <v>9992</v>
      </c>
      <c r="S56" s="124">
        <v>370</v>
      </c>
      <c r="T56" s="124">
        <v>33709</v>
      </c>
      <c r="U56" s="124">
        <v>9518</v>
      </c>
      <c r="V56" s="124">
        <v>8617</v>
      </c>
      <c r="W56" s="124">
        <v>18462</v>
      </c>
      <c r="X56" s="124">
        <v>66550</v>
      </c>
      <c r="Y56" s="124">
        <v>138724</v>
      </c>
      <c r="Z56" s="124">
        <v>38831</v>
      </c>
      <c r="AA56" s="124"/>
      <c r="AB56" s="124">
        <v>24733</v>
      </c>
      <c r="AC56" s="124">
        <v>33238</v>
      </c>
      <c r="AD56" s="124">
        <v>33785</v>
      </c>
      <c r="AE56" s="124">
        <v>54151</v>
      </c>
      <c r="AF56" s="124">
        <v>42202</v>
      </c>
      <c r="AG56" s="124">
        <v>74637</v>
      </c>
    </row>
    <row r="57" spans="1:45">
      <c r="A57" s="114" t="s">
        <v>159</v>
      </c>
      <c r="B57" s="123"/>
      <c r="C57" s="123">
        <v>0</v>
      </c>
      <c r="D57" s="123">
        <v>0</v>
      </c>
      <c r="E57" s="124">
        <v>0</v>
      </c>
      <c r="F57" s="124">
        <v>0</v>
      </c>
      <c r="G57" s="124">
        <v>743.36400000000003</v>
      </c>
      <c r="H57" s="124">
        <v>881.61800000000005</v>
      </c>
      <c r="I57" s="124">
        <v>949.17600000000004</v>
      </c>
      <c r="J57" s="124">
        <v>1145.133</v>
      </c>
      <c r="K57" s="124">
        <v>2080.6089999999999</v>
      </c>
      <c r="L57" s="124">
        <v>3708.942</v>
      </c>
      <c r="M57" s="124">
        <v>5505</v>
      </c>
      <c r="N57" s="124">
        <v>5953</v>
      </c>
      <c r="O57" s="124">
        <v>11192</v>
      </c>
      <c r="P57" s="124">
        <v>9741</v>
      </c>
      <c r="Q57" s="124">
        <v>10350</v>
      </c>
      <c r="R57" s="124">
        <v>16772</v>
      </c>
      <c r="S57" s="124">
        <v>16428</v>
      </c>
      <c r="T57" s="124">
        <v>17004</v>
      </c>
      <c r="U57" s="124">
        <v>20924</v>
      </c>
      <c r="V57" s="124">
        <v>40275</v>
      </c>
      <c r="W57" s="124">
        <v>0</v>
      </c>
      <c r="X57" s="124">
        <v>0</v>
      </c>
      <c r="Y57" s="124"/>
      <c r="Z57" s="124"/>
      <c r="AA57" s="124"/>
      <c r="AB57" s="124"/>
      <c r="AC57" s="124"/>
      <c r="AD57" s="124"/>
      <c r="AE57" s="124"/>
      <c r="AF57" s="124"/>
      <c r="AG57" s="124"/>
    </row>
    <row r="58" spans="1:45">
      <c r="A58" s="127" t="s">
        <v>129</v>
      </c>
      <c r="B58" s="118"/>
      <c r="C58" s="118">
        <f t="shared" ref="C58:AG58" si="20">C57+C54+C53+C51+C50+C49+C56+C55</f>
        <v>5425.0969999999998</v>
      </c>
      <c r="D58" s="118">
        <f t="shared" si="20"/>
        <v>4574.1509999999998</v>
      </c>
      <c r="E58" s="118">
        <f t="shared" si="20"/>
        <v>6067.4129999999996</v>
      </c>
      <c r="F58" s="118">
        <f t="shared" si="20"/>
        <v>11089.028</v>
      </c>
      <c r="G58" s="118">
        <f t="shared" si="20"/>
        <v>16951.88</v>
      </c>
      <c r="H58" s="118">
        <f t="shared" si="20"/>
        <v>19328.051000000003</v>
      </c>
      <c r="I58" s="118">
        <f t="shared" si="20"/>
        <v>18540.09</v>
      </c>
      <c r="J58" s="118">
        <f t="shared" si="20"/>
        <v>20903.873999999996</v>
      </c>
      <c r="K58" s="118">
        <f t="shared" si="20"/>
        <v>26677.94</v>
      </c>
      <c r="L58" s="118">
        <f t="shared" si="20"/>
        <v>60380.136999999995</v>
      </c>
      <c r="M58" s="118">
        <f t="shared" si="20"/>
        <v>140286.402</v>
      </c>
      <c r="N58" s="118">
        <f t="shared" si="20"/>
        <v>275157</v>
      </c>
      <c r="O58" s="118">
        <f t="shared" si="20"/>
        <v>270149</v>
      </c>
      <c r="P58" s="118">
        <f t="shared" si="20"/>
        <v>561324</v>
      </c>
      <c r="Q58" s="118">
        <f t="shared" si="20"/>
        <v>585504</v>
      </c>
      <c r="R58" s="118">
        <f t="shared" si="20"/>
        <v>898153</v>
      </c>
      <c r="S58" s="118">
        <f t="shared" si="20"/>
        <v>1182677</v>
      </c>
      <c r="T58" s="118">
        <f t="shared" si="20"/>
        <v>835068</v>
      </c>
      <c r="U58" s="118">
        <f t="shared" si="20"/>
        <v>1183043</v>
      </c>
      <c r="V58" s="118">
        <f t="shared" si="20"/>
        <v>1693429</v>
      </c>
      <c r="W58" s="118">
        <f t="shared" si="20"/>
        <v>3599532</v>
      </c>
      <c r="X58" s="118">
        <f t="shared" si="20"/>
        <v>1432270</v>
      </c>
      <c r="Y58" s="118">
        <f t="shared" si="20"/>
        <v>2086377</v>
      </c>
      <c r="Z58" s="118">
        <f t="shared" si="20"/>
        <v>1804170</v>
      </c>
      <c r="AA58" s="118">
        <f t="shared" si="20"/>
        <v>2286949</v>
      </c>
      <c r="AB58" s="118">
        <f t="shared" si="20"/>
        <v>3140955</v>
      </c>
      <c r="AC58" s="118">
        <f t="shared" si="20"/>
        <v>4682110</v>
      </c>
      <c r="AD58" s="118">
        <f t="shared" si="20"/>
        <v>4764897</v>
      </c>
      <c r="AE58" s="118">
        <f t="shared" si="20"/>
        <v>5588996</v>
      </c>
      <c r="AF58" s="118">
        <f t="shared" si="20"/>
        <v>3641504</v>
      </c>
      <c r="AG58" s="118">
        <f t="shared" si="20"/>
        <v>5361084</v>
      </c>
    </row>
    <row r="59" spans="1:45">
      <c r="A59" s="125"/>
      <c r="B59" s="144"/>
      <c r="C59" s="144"/>
      <c r="D59" s="144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</row>
    <row r="60" spans="1:45">
      <c r="A60" s="125" t="s">
        <v>160</v>
      </c>
      <c r="B60" s="144"/>
      <c r="C60" s="144"/>
      <c r="D60" s="144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</row>
    <row r="61" spans="1:45">
      <c r="A61" s="114" t="s">
        <v>161</v>
      </c>
      <c r="B61" s="144"/>
      <c r="C61" s="123">
        <v>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>
        <v>0</v>
      </c>
      <c r="N61" s="123">
        <v>0</v>
      </c>
      <c r="O61" s="123">
        <v>227085</v>
      </c>
      <c r="P61" s="123">
        <v>89567</v>
      </c>
      <c r="Q61" s="123">
        <v>80836</v>
      </c>
      <c r="R61" s="123">
        <v>44189</v>
      </c>
      <c r="S61" s="123">
        <v>23194</v>
      </c>
      <c r="T61" s="123">
        <v>21393</v>
      </c>
      <c r="U61" s="123">
        <v>9792</v>
      </c>
      <c r="V61" s="123">
        <v>42940</v>
      </c>
      <c r="W61" s="123">
        <v>15348</v>
      </c>
      <c r="X61" s="123">
        <v>2394</v>
      </c>
      <c r="Y61" s="123">
        <v>2366</v>
      </c>
      <c r="Z61" s="123"/>
      <c r="AA61" s="123"/>
      <c r="AB61" s="123">
        <v>44291</v>
      </c>
      <c r="AC61" s="123">
        <v>99419</v>
      </c>
      <c r="AD61" s="123">
        <v>61443</v>
      </c>
      <c r="AE61" s="123">
        <v>76431</v>
      </c>
      <c r="AF61" s="123">
        <v>0</v>
      </c>
      <c r="AG61" s="123">
        <v>48329</v>
      </c>
      <c r="AI61" s="149" t="s">
        <v>326</v>
      </c>
      <c r="AJ61" s="149" t="s">
        <v>322</v>
      </c>
      <c r="AL61" s="149" t="s">
        <v>325</v>
      </c>
      <c r="AM61" s="149" t="s">
        <v>322</v>
      </c>
      <c r="AN61" s="149"/>
      <c r="AO61" s="149" t="s">
        <v>324</v>
      </c>
      <c r="AP61" s="149" t="s">
        <v>322</v>
      </c>
      <c r="AQ61" s="149"/>
      <c r="AR61" s="149" t="s">
        <v>323</v>
      </c>
      <c r="AS61" s="149" t="s">
        <v>322</v>
      </c>
    </row>
    <row r="62" spans="1:45">
      <c r="A62" s="114" t="s">
        <v>162</v>
      </c>
      <c r="B62" s="123"/>
      <c r="C62" s="123">
        <v>784.88400000000001</v>
      </c>
      <c r="D62" s="123">
        <v>602.27200000000005</v>
      </c>
      <c r="E62" s="124">
        <v>412.49599999999998</v>
      </c>
      <c r="F62" s="124">
        <v>601.52300000000002</v>
      </c>
      <c r="G62" s="124">
        <v>504.19099999999997</v>
      </c>
      <c r="H62" s="124">
        <v>1863.0440000000001</v>
      </c>
      <c r="I62" s="124">
        <v>1945.146</v>
      </c>
      <c r="J62" s="124">
        <v>1862.807</v>
      </c>
      <c r="K62" s="124">
        <v>2803.2820000000002</v>
      </c>
      <c r="L62" s="124">
        <v>2964.0639999999999</v>
      </c>
      <c r="M62" s="124">
        <v>3742.9580000000001</v>
      </c>
      <c r="N62" s="124">
        <v>5565</v>
      </c>
      <c r="O62" s="124">
        <v>8567</v>
      </c>
      <c r="P62" s="124">
        <v>14389</v>
      </c>
      <c r="Q62" s="124">
        <v>33314</v>
      </c>
      <c r="R62" s="124">
        <v>34551</v>
      </c>
      <c r="S62" s="124">
        <v>45151</v>
      </c>
      <c r="T62" s="124">
        <v>69137</v>
      </c>
      <c r="U62" s="124">
        <v>88143</v>
      </c>
      <c r="V62" s="124">
        <v>90156</v>
      </c>
      <c r="W62" s="124">
        <v>97354</v>
      </c>
      <c r="X62" s="124">
        <v>173343</v>
      </c>
      <c r="Y62" s="124">
        <v>230276</v>
      </c>
      <c r="Z62" s="124">
        <v>243051</v>
      </c>
      <c r="AA62" s="124">
        <v>298640</v>
      </c>
      <c r="AB62" s="124">
        <v>314656</v>
      </c>
      <c r="AC62" s="124">
        <v>313753</v>
      </c>
      <c r="AD62" s="124">
        <v>516897</v>
      </c>
      <c r="AE62" s="124">
        <v>890796</v>
      </c>
      <c r="AF62" s="124">
        <v>1047024</v>
      </c>
      <c r="AG62" s="124">
        <v>1081544</v>
      </c>
      <c r="AI62" s="146">
        <f>IFERROR((AG62/C62)^(1/30)-1,"")</f>
        <v>0.27245165390734183</v>
      </c>
      <c r="AJ62" s="148">
        <f>IFERROR(PRODUCT(1+C63,1+D63,1+E63,1+F63,1+G63,1+H63,1+I63,1+J63,1+K63,1+L63,1+M63,1+N63,1+O63,1+P63,1+Q63,1+R63,1+S63,1+T63,1+U63,1+V63,1+W63,1+X63,1+Y63,1+Z63,1+AA63,1+AB63,1+AC63,1+AD63,1+AE63,1+AF63,1+AG63)^(1/30)-1,"")</f>
        <v>0.27245165390734183</v>
      </c>
      <c r="AL62" s="146">
        <f>IFERROR((AG62/M62)^(1/20)-1,"")</f>
        <v>0.32752118960514776</v>
      </c>
      <c r="AM62" s="148">
        <f>IFERROR(PRODUCT(1+N63,1+O63,1+P63,1+Q63,1+R63,1+S63,1+T63,1+U63,1+V63,1+W63,1+X63,1+Y63,1+Z63,1+AA63,1+AB63,1+AC63,1+AD63,1+AE63,1+AF63,1+AG63)^(1/20)-1,"")</f>
        <v>0.32752118960514776</v>
      </c>
      <c r="AO62" s="148">
        <f>IFERROR((AG62/W62)^(1/10)-1,"")</f>
        <v>0.27223998032053709</v>
      </c>
      <c r="AP62" s="148">
        <f>IFERROR(PRODUCT(1+X63,1+Y63,1+Z63,1+AA63,1+AB63,1+AC63,1+AD63,1+AE63,1+AF63,1+AG63)^(1/10)-1,"")</f>
        <v>0.27223998032053709</v>
      </c>
      <c r="AR62" s="148">
        <f>IFERROR((AG62/AB62)^(1/5)-1,"")</f>
        <v>0.28009333090195931</v>
      </c>
      <c r="AS62" s="148">
        <f>IFERROR(PRODUCT(1+AC63,1+AD63,1+AE63,1+AF63,1+AG63)^(1/5)-1,"")</f>
        <v>0.28009333090195931</v>
      </c>
    </row>
    <row r="63" spans="1:45">
      <c r="A63" s="147" t="s">
        <v>321</v>
      </c>
      <c r="B63" s="123"/>
      <c r="C63" s="123"/>
      <c r="D63" s="146">
        <f t="shared" ref="D63:AG63" si="21">IFERROR((D62/C62-1),"")</f>
        <v>-0.2326611320908567</v>
      </c>
      <c r="E63" s="146">
        <f t="shared" si="21"/>
        <v>-0.31510015408320502</v>
      </c>
      <c r="F63" s="146">
        <f t="shared" si="21"/>
        <v>0.45825171638028017</v>
      </c>
      <c r="G63" s="146">
        <f t="shared" si="21"/>
        <v>-0.161809274125844</v>
      </c>
      <c r="H63" s="146">
        <f t="shared" si="21"/>
        <v>2.6951155415308885</v>
      </c>
      <c r="I63" s="146">
        <f t="shared" si="21"/>
        <v>4.4068739117272493E-2</v>
      </c>
      <c r="J63" s="146">
        <f t="shared" si="21"/>
        <v>-4.2330498584682075E-2</v>
      </c>
      <c r="K63" s="146">
        <f t="shared" si="21"/>
        <v>0.50486980132670767</v>
      </c>
      <c r="L63" s="146">
        <f t="shared" si="21"/>
        <v>5.735491470355103E-2</v>
      </c>
      <c r="M63" s="146">
        <f t="shared" si="21"/>
        <v>0.26277907629524888</v>
      </c>
      <c r="N63" s="146">
        <f t="shared" si="21"/>
        <v>0.48679199713168031</v>
      </c>
      <c r="O63" s="146">
        <f t="shared" si="21"/>
        <v>0.53944294699011675</v>
      </c>
      <c r="P63" s="146">
        <f t="shared" si="21"/>
        <v>0.67958445196684947</v>
      </c>
      <c r="Q63" s="146">
        <f t="shared" si="21"/>
        <v>1.3152408089512821</v>
      </c>
      <c r="R63" s="146">
        <f t="shared" si="21"/>
        <v>3.7131536291048706E-2</v>
      </c>
      <c r="S63" s="146">
        <f t="shared" si="21"/>
        <v>0.30679285693612335</v>
      </c>
      <c r="T63" s="146">
        <f t="shared" si="21"/>
        <v>0.5312396181701402</v>
      </c>
      <c r="U63" s="146">
        <f t="shared" si="21"/>
        <v>0.27490345256519655</v>
      </c>
      <c r="V63" s="146">
        <f t="shared" si="21"/>
        <v>2.2837888431299191E-2</v>
      </c>
      <c r="W63" s="146">
        <f t="shared" si="21"/>
        <v>7.9839389502639913E-2</v>
      </c>
      <c r="X63" s="146">
        <f t="shared" si="21"/>
        <v>0.7805431723401195</v>
      </c>
      <c r="Y63" s="146">
        <f t="shared" si="21"/>
        <v>0.32844129846604719</v>
      </c>
      <c r="Z63" s="146">
        <f t="shared" si="21"/>
        <v>5.5476905973701029E-2</v>
      </c>
      <c r="AA63" s="146">
        <f t="shared" si="21"/>
        <v>0.22871331531242411</v>
      </c>
      <c r="AB63" s="146">
        <f t="shared" si="21"/>
        <v>5.362978837396204E-2</v>
      </c>
      <c r="AC63" s="146">
        <f t="shared" si="21"/>
        <v>-2.8698006712092328E-3</v>
      </c>
      <c r="AD63" s="146">
        <f t="shared" si="21"/>
        <v>0.64746472543688816</v>
      </c>
      <c r="AE63" s="146">
        <f t="shared" si="21"/>
        <v>0.72335300843301464</v>
      </c>
      <c r="AF63" s="146">
        <f t="shared" si="21"/>
        <v>0.17538022173426904</v>
      </c>
      <c r="AG63" s="146">
        <f t="shared" si="21"/>
        <v>3.2969635844068534E-2</v>
      </c>
    </row>
    <row r="64" spans="1:45">
      <c r="A64" s="114" t="s">
        <v>163</v>
      </c>
      <c r="B64" s="123"/>
      <c r="C64" s="123">
        <v>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v>0</v>
      </c>
      <c r="K64" s="123">
        <v>0</v>
      </c>
      <c r="L64" s="123">
        <v>0</v>
      </c>
      <c r="M64" s="124">
        <v>0</v>
      </c>
      <c r="N64" s="124">
        <v>5001</v>
      </c>
      <c r="O64" s="124">
        <v>14006</v>
      </c>
      <c r="P64" s="124">
        <v>65748</v>
      </c>
      <c r="Q64" s="124">
        <v>65678</v>
      </c>
      <c r="R64" s="124">
        <v>58475</v>
      </c>
      <c r="S64" s="124">
        <v>58576</v>
      </c>
      <c r="T64" s="124">
        <v>59503</v>
      </c>
      <c r="U64" s="124">
        <v>63611</v>
      </c>
      <c r="V64" s="124">
        <v>54106</v>
      </c>
      <c r="W64" s="124">
        <v>140468</v>
      </c>
      <c r="X64" s="124">
        <v>159556</v>
      </c>
      <c r="Y64" s="124">
        <v>92333</v>
      </c>
      <c r="Z64" s="124">
        <v>85687</v>
      </c>
      <c r="AA64" s="124"/>
      <c r="AB64" s="124">
        <v>241650</v>
      </c>
      <c r="AC64" s="124">
        <v>225221</v>
      </c>
      <c r="AD64" s="124">
        <v>177039</v>
      </c>
      <c r="AE64" s="124">
        <v>175003</v>
      </c>
      <c r="AF64" s="124">
        <v>184260</v>
      </c>
      <c r="AG64" s="124">
        <v>188646</v>
      </c>
    </row>
    <row r="65" spans="1:33">
      <c r="A65" s="114" t="s">
        <v>164</v>
      </c>
      <c r="B65" s="123"/>
      <c r="C65" s="123">
        <v>10794.052</v>
      </c>
      <c r="D65" s="123">
        <v>10459.144</v>
      </c>
      <c r="E65" s="124">
        <v>10208.116</v>
      </c>
      <c r="F65" s="124">
        <v>10003.416999999999</v>
      </c>
      <c r="G65" s="124">
        <v>10768.493</v>
      </c>
      <c r="H65" s="124">
        <v>16887.914000000001</v>
      </c>
      <c r="I65" s="124">
        <v>17350.221000000001</v>
      </c>
      <c r="J65" s="124">
        <v>17360.455000000002</v>
      </c>
      <c r="K65" s="124">
        <v>18293.704000000002</v>
      </c>
      <c r="L65" s="124">
        <v>18351.804</v>
      </c>
      <c r="M65" s="124">
        <v>19103</v>
      </c>
      <c r="N65" s="124">
        <v>21202</v>
      </c>
      <c r="O65" s="124">
        <v>24066</v>
      </c>
      <c r="P65" s="124">
        <v>28365</v>
      </c>
      <c r="Q65" s="124">
        <v>33512</v>
      </c>
      <c r="R65" s="124">
        <v>43316</v>
      </c>
      <c r="S65" s="124">
        <v>48396</v>
      </c>
      <c r="T65" s="124">
        <v>54648</v>
      </c>
      <c r="U65" s="124">
        <v>65774</v>
      </c>
      <c r="V65" s="124">
        <v>50748</v>
      </c>
      <c r="W65" s="124">
        <v>427986</v>
      </c>
      <c r="X65" s="124">
        <v>1032635</v>
      </c>
      <c r="Y65" s="124">
        <v>1034085</v>
      </c>
      <c r="Z65" s="124">
        <v>1045878</v>
      </c>
      <c r="AA65" s="124">
        <v>1052105</v>
      </c>
      <c r="AB65" s="124">
        <v>1059046</v>
      </c>
      <c r="AC65" s="124">
        <v>1072386</v>
      </c>
      <c r="AD65" s="124">
        <v>1220410</v>
      </c>
      <c r="AE65" s="124">
        <v>1427139</v>
      </c>
      <c r="AF65" s="124">
        <v>1414252</v>
      </c>
      <c r="AG65" s="124">
        <v>1379268</v>
      </c>
    </row>
    <row r="66" spans="1:33">
      <c r="B66" s="123"/>
      <c r="C66" s="123"/>
      <c r="D66" s="146">
        <f t="shared" ref="D66:AG66" si="22">IFERROR((D65/C65-1),"")</f>
        <v>-3.1027087881362769E-2</v>
      </c>
      <c r="E66" s="146">
        <f t="shared" si="22"/>
        <v>-2.4000816892854715E-2</v>
      </c>
      <c r="F66" s="146">
        <f t="shared" si="22"/>
        <v>-2.0052573853980515E-2</v>
      </c>
      <c r="G66" s="146">
        <f t="shared" si="22"/>
        <v>7.6481466282971144E-2</v>
      </c>
      <c r="H66" s="146">
        <f t="shared" si="22"/>
        <v>0.5682708806143999</v>
      </c>
      <c r="I66" s="146">
        <f t="shared" si="22"/>
        <v>2.7375020976539766E-2</v>
      </c>
      <c r="J66" s="146">
        <f t="shared" si="22"/>
        <v>5.8984839443843029E-4</v>
      </c>
      <c r="K66" s="146">
        <f t="shared" si="22"/>
        <v>5.3757173991119345E-2</v>
      </c>
      <c r="L66" s="146">
        <f t="shared" si="22"/>
        <v>3.1759560557007571E-3</v>
      </c>
      <c r="M66" s="146">
        <f t="shared" si="22"/>
        <v>4.0933087559130499E-2</v>
      </c>
      <c r="N66" s="146">
        <f t="shared" si="22"/>
        <v>0.10987802962885418</v>
      </c>
      <c r="O66" s="146">
        <f t="shared" si="22"/>
        <v>0.1350815960758418</v>
      </c>
      <c r="P66" s="146">
        <f t="shared" si="22"/>
        <v>0.17863375716778851</v>
      </c>
      <c r="Q66" s="146">
        <f t="shared" si="22"/>
        <v>0.18145601974264047</v>
      </c>
      <c r="R66" s="146">
        <f t="shared" si="22"/>
        <v>0.29255192169968969</v>
      </c>
      <c r="S66" s="146">
        <f t="shared" si="22"/>
        <v>0.11727768030289032</v>
      </c>
      <c r="T66" s="146">
        <f t="shared" si="22"/>
        <v>0.12918423010166125</v>
      </c>
      <c r="U66" s="146">
        <f t="shared" si="22"/>
        <v>0.2035939101156492</v>
      </c>
      <c r="V66" s="146">
        <f t="shared" si="22"/>
        <v>-0.22844893118861553</v>
      </c>
      <c r="W66" s="146">
        <f t="shared" si="22"/>
        <v>7.4335540316859774</v>
      </c>
      <c r="X66" s="146">
        <f t="shared" si="22"/>
        <v>1.4127775207600251</v>
      </c>
      <c r="Y66" s="146">
        <f t="shared" si="22"/>
        <v>1.4041747568114271E-3</v>
      </c>
      <c r="Z66" s="146">
        <f t="shared" si="22"/>
        <v>1.1404284947562404E-2</v>
      </c>
      <c r="AA66" s="146">
        <f t="shared" si="22"/>
        <v>5.9538493017350369E-3</v>
      </c>
      <c r="AB66" s="146">
        <f t="shared" si="22"/>
        <v>6.5972502744497952E-3</v>
      </c>
      <c r="AC66" s="146">
        <f t="shared" si="22"/>
        <v>1.2596242278428038E-2</v>
      </c>
      <c r="AD66" s="146">
        <f t="shared" si="22"/>
        <v>0.13803238759178127</v>
      </c>
      <c r="AE66" s="146">
        <f t="shared" si="22"/>
        <v>0.1693930728197901</v>
      </c>
      <c r="AF66" s="146">
        <f t="shared" si="22"/>
        <v>-9.0299543352119205E-3</v>
      </c>
      <c r="AG66" s="146">
        <f t="shared" si="22"/>
        <v>-2.4736751300334037E-2</v>
      </c>
    </row>
    <row r="67" spans="1:33">
      <c r="A67" s="114" t="s">
        <v>165</v>
      </c>
      <c r="B67" s="123"/>
      <c r="C67" s="123">
        <v>0</v>
      </c>
      <c r="D67" s="123">
        <v>0</v>
      </c>
      <c r="E67" s="124">
        <v>60.252000000000002</v>
      </c>
      <c r="F67" s="124">
        <v>20.861000000000001</v>
      </c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>
        <v>0</v>
      </c>
      <c r="W67" s="124">
        <v>1279715</v>
      </c>
      <c r="X67" s="124">
        <v>1331643</v>
      </c>
      <c r="Y67" s="124">
        <v>1331643</v>
      </c>
      <c r="Z67" s="124">
        <v>1331643</v>
      </c>
      <c r="AA67" s="124">
        <v>1331643</v>
      </c>
      <c r="AB67" s="124">
        <v>1331643</v>
      </c>
      <c r="AC67" s="124">
        <v>1331643</v>
      </c>
      <c r="AD67" s="124">
        <v>1417941</v>
      </c>
      <c r="AE67" s="124">
        <v>1417941</v>
      </c>
      <c r="AF67" s="124">
        <v>1331643</v>
      </c>
      <c r="AG67" s="124">
        <v>1331643</v>
      </c>
    </row>
    <row r="68" spans="1:33">
      <c r="B68" s="123"/>
      <c r="C68" s="123"/>
      <c r="D68" s="146" t="str">
        <f t="shared" ref="D68:AG68" si="23">IFERROR((D67/C67-1),"")</f>
        <v/>
      </c>
      <c r="E68" s="146" t="str">
        <f t="shared" si="23"/>
        <v/>
      </c>
      <c r="F68" s="146">
        <f t="shared" si="23"/>
        <v>-0.65377082918409346</v>
      </c>
      <c r="G68" s="146">
        <f t="shared" si="23"/>
        <v>-1</v>
      </c>
      <c r="H68" s="146" t="str">
        <f t="shared" si="23"/>
        <v/>
      </c>
      <c r="I68" s="146" t="str">
        <f t="shared" si="23"/>
        <v/>
      </c>
      <c r="J68" s="146" t="str">
        <f t="shared" si="23"/>
        <v/>
      </c>
      <c r="K68" s="146" t="str">
        <f t="shared" si="23"/>
        <v/>
      </c>
      <c r="L68" s="146" t="str">
        <f t="shared" si="23"/>
        <v/>
      </c>
      <c r="M68" s="146" t="str">
        <f t="shared" si="23"/>
        <v/>
      </c>
      <c r="N68" s="146" t="str">
        <f t="shared" si="23"/>
        <v/>
      </c>
      <c r="O68" s="146" t="str">
        <f t="shared" si="23"/>
        <v/>
      </c>
      <c r="P68" s="146" t="str">
        <f t="shared" si="23"/>
        <v/>
      </c>
      <c r="Q68" s="146" t="str">
        <f t="shared" si="23"/>
        <v/>
      </c>
      <c r="R68" s="146" t="str">
        <f t="shared" si="23"/>
        <v/>
      </c>
      <c r="S68" s="146" t="str">
        <f t="shared" si="23"/>
        <v/>
      </c>
      <c r="T68" s="146" t="str">
        <f t="shared" si="23"/>
        <v/>
      </c>
      <c r="U68" s="146" t="str">
        <f t="shared" si="23"/>
        <v/>
      </c>
      <c r="V68" s="146" t="str">
        <f t="shared" si="23"/>
        <v/>
      </c>
      <c r="W68" s="146" t="str">
        <f t="shared" si="23"/>
        <v/>
      </c>
      <c r="X68" s="146">
        <f t="shared" si="23"/>
        <v>4.0577784897418478E-2</v>
      </c>
      <c r="Y68" s="146">
        <f t="shared" si="23"/>
        <v>0</v>
      </c>
      <c r="Z68" s="146">
        <f t="shared" si="23"/>
        <v>0</v>
      </c>
      <c r="AA68" s="146">
        <f t="shared" si="23"/>
        <v>0</v>
      </c>
      <c r="AB68" s="146">
        <f t="shared" si="23"/>
        <v>0</v>
      </c>
      <c r="AC68" s="146">
        <f t="shared" si="23"/>
        <v>0</v>
      </c>
      <c r="AD68" s="146">
        <f t="shared" si="23"/>
        <v>6.4805657372133618E-2</v>
      </c>
      <c r="AE68" s="146">
        <f t="shared" si="23"/>
        <v>0</v>
      </c>
      <c r="AF68" s="146">
        <f t="shared" si="23"/>
        <v>-6.0861488595082558E-2</v>
      </c>
      <c r="AG68" s="146">
        <f t="shared" si="23"/>
        <v>0</v>
      </c>
    </row>
    <row r="69" spans="1:33">
      <c r="A69" s="114" t="s">
        <v>166</v>
      </c>
      <c r="B69" s="123"/>
      <c r="C69" s="123">
        <v>517.38599999999997</v>
      </c>
      <c r="D69" s="123">
        <v>473.50599999999997</v>
      </c>
      <c r="E69" s="124">
        <v>185.08199999999999</v>
      </c>
      <c r="F69" s="124">
        <v>211.90299999999999</v>
      </c>
      <c r="G69" s="124">
        <v>484.38799999999998</v>
      </c>
      <c r="H69" s="124">
        <v>665.73099999999999</v>
      </c>
      <c r="I69" s="124">
        <v>725.82500000000005</v>
      </c>
      <c r="J69" s="124">
        <v>336.36900000000003</v>
      </c>
      <c r="K69" s="124">
        <v>222.102</v>
      </c>
      <c r="L69" s="124">
        <v>326.31200000000001</v>
      </c>
      <c r="M69" s="124">
        <v>757.21500000000003</v>
      </c>
      <c r="N69" s="124">
        <v>1447</v>
      </c>
      <c r="O69" s="124">
        <v>730</v>
      </c>
      <c r="P69" s="124">
        <v>2444</v>
      </c>
      <c r="Q69" s="124">
        <v>1226</v>
      </c>
      <c r="R69" s="124">
        <v>3447</v>
      </c>
      <c r="S69" s="124">
        <v>4405</v>
      </c>
      <c r="T69" s="124">
        <v>3576</v>
      </c>
      <c r="U69" s="124">
        <v>10146</v>
      </c>
      <c r="V69" s="124">
        <v>7496</v>
      </c>
      <c r="W69" s="124">
        <v>10874</v>
      </c>
      <c r="X69" s="124">
        <v>21630</v>
      </c>
      <c r="Y69" s="124">
        <v>13932</v>
      </c>
      <c r="Z69" s="124">
        <v>16462</v>
      </c>
      <c r="AA69" s="124">
        <v>53973</v>
      </c>
      <c r="AB69" s="124">
        <v>70475</v>
      </c>
      <c r="AC69" s="124">
        <v>80252</v>
      </c>
      <c r="AD69" s="124">
        <v>134478</v>
      </c>
      <c r="AE69" s="124">
        <v>110216</v>
      </c>
      <c r="AF69" s="124">
        <v>100406</v>
      </c>
      <c r="AG69" s="124">
        <v>159431</v>
      </c>
    </row>
    <row r="70" spans="1:33">
      <c r="A70" s="114" t="s">
        <v>167</v>
      </c>
      <c r="B70" s="123"/>
      <c r="C70" s="123">
        <f t="shared" ref="C70:AG70" si="24">C69+C67+C65+C62+C64+C61</f>
        <v>12096.322</v>
      </c>
      <c r="D70" s="123">
        <f t="shared" si="24"/>
        <v>11534.922</v>
      </c>
      <c r="E70" s="123">
        <f t="shared" si="24"/>
        <v>10865.946</v>
      </c>
      <c r="F70" s="123">
        <f t="shared" si="24"/>
        <v>10837.703999999998</v>
      </c>
      <c r="G70" s="123">
        <f t="shared" si="24"/>
        <v>11757.072000000002</v>
      </c>
      <c r="H70" s="123">
        <f t="shared" si="24"/>
        <v>19416.689000000002</v>
      </c>
      <c r="I70" s="123">
        <f t="shared" si="24"/>
        <v>20021.192000000003</v>
      </c>
      <c r="J70" s="123">
        <f t="shared" si="24"/>
        <v>19559.631000000001</v>
      </c>
      <c r="K70" s="123">
        <f t="shared" si="24"/>
        <v>21319.088</v>
      </c>
      <c r="L70" s="123">
        <f t="shared" si="24"/>
        <v>21642.18</v>
      </c>
      <c r="M70" s="123">
        <f t="shared" si="24"/>
        <v>23603.172999999999</v>
      </c>
      <c r="N70" s="123">
        <f t="shared" si="24"/>
        <v>33215</v>
      </c>
      <c r="O70" s="123">
        <f t="shared" si="24"/>
        <v>274454</v>
      </c>
      <c r="P70" s="123">
        <f t="shared" si="24"/>
        <v>200513</v>
      </c>
      <c r="Q70" s="123">
        <f t="shared" si="24"/>
        <v>214566</v>
      </c>
      <c r="R70" s="123">
        <f t="shared" si="24"/>
        <v>183978</v>
      </c>
      <c r="S70" s="123">
        <f t="shared" si="24"/>
        <v>179722</v>
      </c>
      <c r="T70" s="123">
        <f t="shared" si="24"/>
        <v>208257</v>
      </c>
      <c r="U70" s="123">
        <f t="shared" si="24"/>
        <v>237466</v>
      </c>
      <c r="V70" s="123">
        <f t="shared" si="24"/>
        <v>245446</v>
      </c>
      <c r="W70" s="123">
        <f t="shared" si="24"/>
        <v>1971745</v>
      </c>
      <c r="X70" s="123">
        <f t="shared" si="24"/>
        <v>2721201</v>
      </c>
      <c r="Y70" s="123">
        <f t="shared" si="24"/>
        <v>2704635</v>
      </c>
      <c r="Z70" s="123">
        <f t="shared" si="24"/>
        <v>2722721</v>
      </c>
      <c r="AA70" s="123">
        <f t="shared" si="24"/>
        <v>2736361</v>
      </c>
      <c r="AB70" s="123">
        <f t="shared" si="24"/>
        <v>3061761</v>
      </c>
      <c r="AC70" s="123">
        <f t="shared" si="24"/>
        <v>3122674</v>
      </c>
      <c r="AD70" s="123">
        <f t="shared" si="24"/>
        <v>3528208</v>
      </c>
      <c r="AE70" s="123">
        <f t="shared" si="24"/>
        <v>4097526</v>
      </c>
      <c r="AF70" s="123">
        <f t="shared" si="24"/>
        <v>4077585</v>
      </c>
      <c r="AG70" s="123">
        <f t="shared" si="24"/>
        <v>4188861</v>
      </c>
    </row>
    <row r="71" spans="1:33">
      <c r="A71" s="145" t="s">
        <v>168</v>
      </c>
      <c r="B71" s="126"/>
      <c r="C71" s="126">
        <f t="shared" ref="C71:AG71" si="25">C70+C58</f>
        <v>17521.419000000002</v>
      </c>
      <c r="D71" s="126">
        <f t="shared" si="25"/>
        <v>16109.073</v>
      </c>
      <c r="E71" s="126">
        <f t="shared" si="25"/>
        <v>16933.359</v>
      </c>
      <c r="F71" s="126">
        <f t="shared" si="25"/>
        <v>21926.731999999996</v>
      </c>
      <c r="G71" s="126">
        <f t="shared" si="25"/>
        <v>28708.952000000005</v>
      </c>
      <c r="H71" s="126">
        <f t="shared" si="25"/>
        <v>38744.740000000005</v>
      </c>
      <c r="I71" s="126">
        <f t="shared" si="25"/>
        <v>38561.282000000007</v>
      </c>
      <c r="J71" s="126">
        <f t="shared" si="25"/>
        <v>40463.504999999997</v>
      </c>
      <c r="K71" s="126">
        <f t="shared" si="25"/>
        <v>47997.027999999998</v>
      </c>
      <c r="L71" s="126">
        <f t="shared" si="25"/>
        <v>82022.316999999995</v>
      </c>
      <c r="M71" s="126">
        <f t="shared" si="25"/>
        <v>163889.57500000001</v>
      </c>
      <c r="N71" s="126">
        <f t="shared" si="25"/>
        <v>308372</v>
      </c>
      <c r="O71" s="126">
        <f t="shared" si="25"/>
        <v>544603</v>
      </c>
      <c r="P71" s="126">
        <f t="shared" si="25"/>
        <v>761837</v>
      </c>
      <c r="Q71" s="126">
        <f t="shared" si="25"/>
        <v>800070</v>
      </c>
      <c r="R71" s="126">
        <f t="shared" si="25"/>
        <v>1082131</v>
      </c>
      <c r="S71" s="126">
        <f t="shared" si="25"/>
        <v>1362399</v>
      </c>
      <c r="T71" s="126">
        <f t="shared" si="25"/>
        <v>1043325</v>
      </c>
      <c r="U71" s="126">
        <f t="shared" si="25"/>
        <v>1420509</v>
      </c>
      <c r="V71" s="126">
        <f t="shared" si="25"/>
        <v>1938875</v>
      </c>
      <c r="W71" s="126">
        <f t="shared" si="25"/>
        <v>5571277</v>
      </c>
      <c r="X71" s="126">
        <f t="shared" si="25"/>
        <v>4153471</v>
      </c>
      <c r="Y71" s="126">
        <f t="shared" si="25"/>
        <v>4791012</v>
      </c>
      <c r="Z71" s="126">
        <f t="shared" si="25"/>
        <v>4526891</v>
      </c>
      <c r="AA71" s="126">
        <f t="shared" si="25"/>
        <v>5023310</v>
      </c>
      <c r="AB71" s="126">
        <f t="shared" si="25"/>
        <v>6202716</v>
      </c>
      <c r="AC71" s="126">
        <f t="shared" si="25"/>
        <v>7804784</v>
      </c>
      <c r="AD71" s="126">
        <f t="shared" si="25"/>
        <v>8293105</v>
      </c>
      <c r="AE71" s="126">
        <f t="shared" si="25"/>
        <v>9686522</v>
      </c>
      <c r="AF71" s="126">
        <f t="shared" si="25"/>
        <v>7719089</v>
      </c>
      <c r="AG71" s="126">
        <f t="shared" si="25"/>
        <v>9549945</v>
      </c>
    </row>
    <row r="72" spans="1:33">
      <c r="A72" s="125"/>
      <c r="B72" s="123"/>
      <c r="C72" s="123"/>
      <c r="D72" s="123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</row>
    <row r="73" spans="1:33">
      <c r="A73" s="125" t="s">
        <v>169</v>
      </c>
      <c r="B73" s="123"/>
      <c r="C73" s="123"/>
      <c r="D73" s="123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</row>
    <row r="74" spans="1:33">
      <c r="A74" s="114" t="s">
        <v>170</v>
      </c>
      <c r="B74" s="123"/>
      <c r="C74" s="123">
        <v>1474.335</v>
      </c>
      <c r="D74" s="123">
        <v>893.42899999999997</v>
      </c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</row>
    <row r="75" spans="1:33">
      <c r="A75" s="114" t="s">
        <v>130</v>
      </c>
      <c r="B75" s="123"/>
      <c r="C75" s="123">
        <v>3382.7649999999999</v>
      </c>
      <c r="D75" s="123">
        <v>2139.0500000000002</v>
      </c>
      <c r="E75" s="124">
        <v>2195.1999999999998</v>
      </c>
      <c r="F75" s="124">
        <v>1870.2529999999999</v>
      </c>
      <c r="G75" s="124">
        <v>5936.8729999999996</v>
      </c>
      <c r="H75" s="124">
        <v>3681.9560000000001</v>
      </c>
      <c r="I75" s="124">
        <v>3919.741</v>
      </c>
      <c r="J75" s="124">
        <v>4732.2610000000004</v>
      </c>
      <c r="K75" s="124">
        <v>6521.402</v>
      </c>
      <c r="L75" s="124">
        <v>14542.753000000001</v>
      </c>
      <c r="M75" s="124">
        <v>26613.663</v>
      </c>
      <c r="N75" s="124">
        <v>34362</v>
      </c>
      <c r="O75" s="124">
        <v>56766</v>
      </c>
      <c r="P75" s="124">
        <v>64787</v>
      </c>
      <c r="Q75" s="124">
        <v>48863</v>
      </c>
      <c r="R75" s="124">
        <v>85674</v>
      </c>
      <c r="S75" s="124">
        <v>113446</v>
      </c>
      <c r="T75" s="124">
        <v>127330</v>
      </c>
      <c r="U75" s="124">
        <v>119376</v>
      </c>
      <c r="V75" s="124">
        <v>127641</v>
      </c>
      <c r="W75" s="124">
        <v>144763</v>
      </c>
      <c r="X75" s="124">
        <v>193270</v>
      </c>
      <c r="Y75" s="124">
        <v>245910</v>
      </c>
      <c r="Z75" s="124">
        <v>248760</v>
      </c>
      <c r="AA75" s="124">
        <v>274045</v>
      </c>
      <c r="AB75" s="124">
        <v>296800</v>
      </c>
      <c r="AC75" s="124">
        <v>404263</v>
      </c>
      <c r="AD75" s="124">
        <v>444265</v>
      </c>
      <c r="AE75" s="124">
        <v>564379</v>
      </c>
      <c r="AF75" s="124">
        <v>466775</v>
      </c>
      <c r="AG75" s="124">
        <v>565974</v>
      </c>
    </row>
    <row r="76" spans="1:33">
      <c r="A76" s="114" t="s">
        <v>131</v>
      </c>
      <c r="B76" s="123"/>
      <c r="C76" s="123">
        <v>155.959</v>
      </c>
      <c r="D76" s="123">
        <v>200.602</v>
      </c>
      <c r="E76" s="124">
        <v>488.80700000000002</v>
      </c>
      <c r="F76" s="124">
        <v>403.86399999999998</v>
      </c>
      <c r="G76" s="124">
        <v>345.79399999999998</v>
      </c>
      <c r="H76" s="124">
        <v>607.44299999999998</v>
      </c>
      <c r="I76" s="124">
        <v>871.84100000000001</v>
      </c>
      <c r="J76" s="124">
        <v>680.95899999999995</v>
      </c>
      <c r="K76" s="124">
        <v>1185.3420000000001</v>
      </c>
      <c r="L76" s="124">
        <v>1582.9680000000001</v>
      </c>
      <c r="M76" s="124">
        <v>2481.703</v>
      </c>
      <c r="N76" s="124">
        <v>16489</v>
      </c>
      <c r="O76" s="124">
        <v>9019</v>
      </c>
      <c r="P76" s="124">
        <v>12524</v>
      </c>
      <c r="Q76" s="124">
        <v>14174</v>
      </c>
      <c r="R76" s="124">
        <v>23811</v>
      </c>
      <c r="S76" s="124">
        <v>31966</v>
      </c>
      <c r="T76" s="124">
        <v>38916</v>
      </c>
      <c r="U76" s="124">
        <v>59113</v>
      </c>
      <c r="V76" s="124">
        <v>40271</v>
      </c>
      <c r="W76" s="124">
        <v>81786</v>
      </c>
      <c r="X76" s="124">
        <v>79526</v>
      </c>
      <c r="Y76" s="124">
        <v>87475</v>
      </c>
      <c r="Z76" s="124">
        <v>112507</v>
      </c>
      <c r="AA76" s="124">
        <v>114075</v>
      </c>
      <c r="AB76" s="124">
        <v>142653</v>
      </c>
      <c r="AC76" s="124">
        <v>210964</v>
      </c>
      <c r="AD76" s="124">
        <v>172991</v>
      </c>
      <c r="AE76" s="124">
        <v>183988</v>
      </c>
      <c r="AF76" s="124">
        <v>220764</v>
      </c>
      <c r="AG76" s="124">
        <v>306085</v>
      </c>
    </row>
    <row r="77" spans="1:33">
      <c r="A77" s="114" t="s">
        <v>171</v>
      </c>
      <c r="B77" s="123"/>
      <c r="C77" s="123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4">
        <v>4312</v>
      </c>
      <c r="P77" s="124">
        <v>102282</v>
      </c>
      <c r="Q77" s="124">
        <v>2977</v>
      </c>
      <c r="R77" s="124">
        <v>407</v>
      </c>
      <c r="S77" s="124"/>
      <c r="T77" s="124"/>
      <c r="U77" s="124"/>
      <c r="V77" s="124"/>
      <c r="W77" s="124">
        <v>11018</v>
      </c>
      <c r="X77" s="124">
        <v>8184</v>
      </c>
      <c r="Y77" s="124">
        <v>91</v>
      </c>
      <c r="Z77" s="124">
        <v>0</v>
      </c>
      <c r="AA77" s="124"/>
      <c r="AB77" s="124"/>
      <c r="AC77" s="124"/>
      <c r="AD77" s="124"/>
      <c r="AE77" s="124"/>
      <c r="AF77" s="124"/>
      <c r="AG77" s="124"/>
    </row>
    <row r="78" spans="1:33">
      <c r="A78" s="114" t="s">
        <v>133</v>
      </c>
      <c r="B78" s="123"/>
      <c r="C78" s="123">
        <v>0</v>
      </c>
      <c r="D78" s="123">
        <v>0</v>
      </c>
      <c r="E78" s="123">
        <v>0</v>
      </c>
      <c r="F78" s="123">
        <v>0</v>
      </c>
      <c r="G78" s="123">
        <v>0</v>
      </c>
      <c r="H78" s="123">
        <v>0</v>
      </c>
      <c r="I78" s="123">
        <v>0</v>
      </c>
      <c r="J78" s="123">
        <v>0</v>
      </c>
      <c r="K78" s="123">
        <v>0</v>
      </c>
      <c r="L78" s="123">
        <v>0</v>
      </c>
      <c r="M78" s="123">
        <v>0</v>
      </c>
      <c r="N78" s="123">
        <v>0</v>
      </c>
      <c r="O78" s="123">
        <v>0</v>
      </c>
      <c r="P78" s="123">
        <v>0</v>
      </c>
      <c r="Q78" s="124">
        <v>9125</v>
      </c>
      <c r="R78" s="124">
        <v>10140</v>
      </c>
      <c r="S78" s="124">
        <v>11583</v>
      </c>
      <c r="T78" s="124">
        <v>12695</v>
      </c>
      <c r="U78" s="124">
        <v>13832</v>
      </c>
      <c r="V78" s="124">
        <v>49926</v>
      </c>
      <c r="W78" s="124">
        <v>32271</v>
      </c>
      <c r="X78" s="124">
        <v>41672</v>
      </c>
      <c r="Y78" s="124">
        <v>43236</v>
      </c>
      <c r="Z78" s="124">
        <v>44045</v>
      </c>
      <c r="AA78" s="124"/>
      <c r="AB78" s="124">
        <v>45429</v>
      </c>
      <c r="AC78" s="124">
        <v>42530</v>
      </c>
      <c r="AD78" s="124">
        <v>43311</v>
      </c>
      <c r="AE78" s="124">
        <v>41914</v>
      </c>
      <c r="AF78" s="124">
        <v>45809</v>
      </c>
      <c r="AG78" s="124">
        <v>45323</v>
      </c>
    </row>
    <row r="79" spans="1:33">
      <c r="A79" s="114" t="s">
        <v>172</v>
      </c>
      <c r="B79" s="123"/>
      <c r="C79" s="123">
        <v>0</v>
      </c>
      <c r="D79" s="123">
        <v>0</v>
      </c>
      <c r="E79" s="123">
        <v>0</v>
      </c>
      <c r="F79" s="123">
        <v>0</v>
      </c>
      <c r="G79" s="123">
        <v>0</v>
      </c>
      <c r="H79" s="123">
        <v>0</v>
      </c>
      <c r="I79" s="123">
        <v>0</v>
      </c>
      <c r="J79" s="123">
        <v>0</v>
      </c>
      <c r="K79" s="123">
        <v>0</v>
      </c>
      <c r="L79" s="123">
        <v>0</v>
      </c>
      <c r="M79" s="123">
        <v>0</v>
      </c>
      <c r="N79" s="124">
        <v>3324</v>
      </c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</row>
    <row r="80" spans="1:33">
      <c r="A80" s="114" t="s">
        <v>132</v>
      </c>
      <c r="B80" s="123"/>
      <c r="C80" s="123">
        <v>0</v>
      </c>
      <c r="D80" s="123">
        <v>0</v>
      </c>
      <c r="E80" s="123">
        <v>0</v>
      </c>
      <c r="F80" s="123">
        <v>0</v>
      </c>
      <c r="G80" s="123">
        <v>0</v>
      </c>
      <c r="H80" s="123">
        <v>0</v>
      </c>
      <c r="I80" s="123">
        <v>0</v>
      </c>
      <c r="J80" s="123">
        <v>0</v>
      </c>
      <c r="K80" s="123">
        <v>0</v>
      </c>
      <c r="L80" s="123">
        <v>0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4">
        <v>87746</v>
      </c>
      <c r="T80" s="124">
        <v>91208</v>
      </c>
      <c r="U80" s="124">
        <v>99470</v>
      </c>
      <c r="V80" s="124">
        <v>114047</v>
      </c>
      <c r="W80" s="124">
        <v>115530</v>
      </c>
      <c r="X80" s="124">
        <v>110237</v>
      </c>
      <c r="Y80" s="124">
        <v>137998</v>
      </c>
      <c r="Z80" s="124">
        <v>145741</v>
      </c>
      <c r="AA80" s="124">
        <v>166761</v>
      </c>
      <c r="AB80" s="124">
        <v>186658</v>
      </c>
      <c r="AC80" s="124">
        <v>211461</v>
      </c>
      <c r="AD80" s="124">
        <v>255631</v>
      </c>
      <c r="AE80" s="124">
        <v>269061</v>
      </c>
      <c r="AF80" s="124">
        <v>267711</v>
      </c>
      <c r="AG80" s="124">
        <v>384070</v>
      </c>
    </row>
    <row r="81" spans="1:33">
      <c r="A81" s="114" t="s">
        <v>134</v>
      </c>
      <c r="B81" s="123"/>
      <c r="C81" s="123">
        <v>0</v>
      </c>
      <c r="D81" s="123">
        <v>0</v>
      </c>
      <c r="E81" s="124">
        <v>322.11399999999998</v>
      </c>
      <c r="F81" s="124">
        <v>476.00099999999998</v>
      </c>
      <c r="G81" s="124">
        <v>462.28500000000003</v>
      </c>
      <c r="H81" s="124">
        <v>281.62900000000002</v>
      </c>
      <c r="I81" s="124">
        <v>432.89600000000002</v>
      </c>
      <c r="J81" s="124">
        <v>310.06400000000002</v>
      </c>
      <c r="K81" s="124">
        <v>883.45899999999995</v>
      </c>
      <c r="L81" s="124">
        <v>1831.627</v>
      </c>
      <c r="M81" s="124">
        <v>3346</v>
      </c>
      <c r="N81" s="124">
        <v>4378</v>
      </c>
      <c r="O81" s="124">
        <v>5827</v>
      </c>
      <c r="P81" s="124">
        <v>6782</v>
      </c>
      <c r="Q81" s="124">
        <v>7623</v>
      </c>
      <c r="R81" s="124">
        <v>7603</v>
      </c>
      <c r="S81" s="124">
        <v>10353</v>
      </c>
      <c r="T81" s="124">
        <v>12926</v>
      </c>
      <c r="U81" s="124">
        <v>14864</v>
      </c>
      <c r="V81" s="124">
        <v>17983</v>
      </c>
      <c r="W81" s="124">
        <v>22159</v>
      </c>
      <c r="X81" s="124">
        <v>30043</v>
      </c>
      <c r="Y81" s="124">
        <v>34996</v>
      </c>
      <c r="Z81" s="124">
        <v>39903</v>
      </c>
      <c r="AA81" s="124"/>
      <c r="AB81" s="124">
        <v>55015</v>
      </c>
      <c r="AC81" s="124">
        <v>65459</v>
      </c>
      <c r="AD81" s="124">
        <v>72463</v>
      </c>
      <c r="AE81" s="124">
        <v>87392</v>
      </c>
      <c r="AF81" s="124">
        <v>92454</v>
      </c>
      <c r="AG81" s="124">
        <v>114023</v>
      </c>
    </row>
    <row r="82" spans="1:33">
      <c r="A82" s="114" t="s">
        <v>135</v>
      </c>
      <c r="B82" s="123"/>
      <c r="C82" s="123"/>
      <c r="D82" s="123"/>
      <c r="E82" s="124">
        <v>37.799999999999997</v>
      </c>
      <c r="F82" s="124">
        <v>1269.1849999999999</v>
      </c>
      <c r="G82" s="124">
        <v>346.63600000000002</v>
      </c>
      <c r="H82" s="124">
        <v>878.26599999999996</v>
      </c>
      <c r="I82" s="124">
        <v>0</v>
      </c>
      <c r="J82" s="124">
        <v>0</v>
      </c>
      <c r="K82" s="124">
        <v>647.26300000000003</v>
      </c>
      <c r="L82" s="124">
        <v>346.44900000000001</v>
      </c>
      <c r="M82" s="124">
        <v>0</v>
      </c>
      <c r="N82" s="124">
        <v>3991</v>
      </c>
      <c r="O82" s="124">
        <v>6294</v>
      </c>
      <c r="P82" s="124">
        <v>0</v>
      </c>
      <c r="Q82" s="124">
        <v>761</v>
      </c>
      <c r="R82" s="124">
        <v>925</v>
      </c>
      <c r="S82" s="124">
        <v>10996</v>
      </c>
      <c r="T82" s="124">
        <v>5470</v>
      </c>
      <c r="U82" s="124">
        <v>9359</v>
      </c>
      <c r="V82" s="124">
        <v>5848</v>
      </c>
      <c r="W82" s="124">
        <v>2750</v>
      </c>
      <c r="X82" s="124">
        <v>7657</v>
      </c>
      <c r="Y82" s="124">
        <v>10645</v>
      </c>
      <c r="Z82" s="124">
        <v>10189</v>
      </c>
      <c r="AA82" s="124">
        <v>14717</v>
      </c>
      <c r="AB82" s="124">
        <v>23433</v>
      </c>
      <c r="AC82" s="124">
        <v>30399</v>
      </c>
      <c r="AD82" s="124">
        <v>13317</v>
      </c>
      <c r="AE82" s="124">
        <v>14955</v>
      </c>
      <c r="AF82" s="124">
        <v>4006</v>
      </c>
      <c r="AG82" s="124">
        <v>32305</v>
      </c>
    </row>
    <row r="83" spans="1:33">
      <c r="A83" s="114" t="s">
        <v>173</v>
      </c>
      <c r="B83" s="123"/>
      <c r="C83" s="123">
        <v>30.782</v>
      </c>
      <c r="D83" s="123">
        <v>4048.5410000000002</v>
      </c>
      <c r="E83" s="124">
        <v>520.83500000000004</v>
      </c>
      <c r="F83" s="124">
        <v>2072.8180000000002</v>
      </c>
      <c r="G83" s="124">
        <v>863.50099999999998</v>
      </c>
      <c r="H83" s="124">
        <v>234.655</v>
      </c>
      <c r="I83" s="124">
        <v>337.87200000000001</v>
      </c>
      <c r="J83" s="124">
        <v>230.74</v>
      </c>
      <c r="K83" s="124">
        <v>244.27099999999999</v>
      </c>
      <c r="L83" s="124">
        <v>437.36599999999999</v>
      </c>
      <c r="M83" s="124">
        <v>515.221</v>
      </c>
      <c r="N83" s="124">
        <v>299</v>
      </c>
      <c r="O83" s="124">
        <v>663</v>
      </c>
      <c r="P83" s="124">
        <v>959</v>
      </c>
      <c r="Q83" s="124">
        <v>206</v>
      </c>
      <c r="R83" s="124">
        <v>274</v>
      </c>
      <c r="S83" s="124">
        <v>0</v>
      </c>
      <c r="T83" s="124">
        <v>0</v>
      </c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</row>
    <row r="84" spans="1:33">
      <c r="A84" s="127" t="s">
        <v>174</v>
      </c>
      <c r="B84" s="118"/>
      <c r="C84" s="139">
        <f t="shared" ref="C84:AG84" si="26">C74+C83+C82+C80+C76+C75+C79+C77+C78+C81</f>
        <v>5043.8410000000003</v>
      </c>
      <c r="D84" s="139">
        <f t="shared" si="26"/>
        <v>7281.6220000000003</v>
      </c>
      <c r="E84" s="139">
        <f t="shared" si="26"/>
        <v>3564.7559999999999</v>
      </c>
      <c r="F84" s="139">
        <f t="shared" si="26"/>
        <v>6092.1210000000001</v>
      </c>
      <c r="G84" s="139">
        <f t="shared" si="26"/>
        <v>7955.0889999999999</v>
      </c>
      <c r="H84" s="139">
        <f t="shared" si="26"/>
        <v>5683.9489999999996</v>
      </c>
      <c r="I84" s="139">
        <f t="shared" si="26"/>
        <v>5562.3499999999995</v>
      </c>
      <c r="J84" s="139">
        <f t="shared" si="26"/>
        <v>5954.0240000000003</v>
      </c>
      <c r="K84" s="139">
        <f t="shared" si="26"/>
        <v>9481.737000000001</v>
      </c>
      <c r="L84" s="139">
        <f t="shared" si="26"/>
        <v>18741.163</v>
      </c>
      <c r="M84" s="139">
        <f t="shared" si="26"/>
        <v>32956.587</v>
      </c>
      <c r="N84" s="139">
        <f t="shared" si="26"/>
        <v>62843</v>
      </c>
      <c r="O84" s="139">
        <f t="shared" si="26"/>
        <v>82881</v>
      </c>
      <c r="P84" s="139">
        <f t="shared" si="26"/>
        <v>187334</v>
      </c>
      <c r="Q84" s="139">
        <f t="shared" si="26"/>
        <v>83729</v>
      </c>
      <c r="R84" s="139">
        <f t="shared" si="26"/>
        <v>128834</v>
      </c>
      <c r="S84" s="139">
        <f t="shared" si="26"/>
        <v>266090</v>
      </c>
      <c r="T84" s="139">
        <f t="shared" si="26"/>
        <v>288545</v>
      </c>
      <c r="U84" s="139">
        <f t="shared" si="26"/>
        <v>316014</v>
      </c>
      <c r="V84" s="139">
        <f t="shared" si="26"/>
        <v>355716</v>
      </c>
      <c r="W84" s="139">
        <f t="shared" si="26"/>
        <v>410277</v>
      </c>
      <c r="X84" s="139">
        <f t="shared" si="26"/>
        <v>470589</v>
      </c>
      <c r="Y84" s="139">
        <f t="shared" si="26"/>
        <v>560351</v>
      </c>
      <c r="Z84" s="139">
        <f t="shared" si="26"/>
        <v>601145</v>
      </c>
      <c r="AA84" s="139">
        <f t="shared" si="26"/>
        <v>569598</v>
      </c>
      <c r="AB84" s="139">
        <f t="shared" si="26"/>
        <v>749988</v>
      </c>
      <c r="AC84" s="139">
        <f t="shared" si="26"/>
        <v>965076</v>
      </c>
      <c r="AD84" s="139">
        <f t="shared" si="26"/>
        <v>1001978</v>
      </c>
      <c r="AE84" s="139">
        <f t="shared" si="26"/>
        <v>1161689</v>
      </c>
      <c r="AF84" s="139">
        <f t="shared" si="26"/>
        <v>1097519</v>
      </c>
      <c r="AG84" s="139">
        <f t="shared" si="26"/>
        <v>1447780</v>
      </c>
    </row>
    <row r="85" spans="1:33">
      <c r="A85" s="125"/>
      <c r="B85" s="144"/>
      <c r="C85" s="123"/>
      <c r="D85" s="12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</row>
    <row r="86" spans="1:33">
      <c r="A86" s="125" t="s">
        <v>175</v>
      </c>
      <c r="B86" s="144"/>
      <c r="C86" s="123"/>
      <c r="D86" s="12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</row>
    <row r="87" spans="1:33">
      <c r="A87" s="114" t="s">
        <v>176</v>
      </c>
      <c r="B87" s="123"/>
      <c r="C87" s="123">
        <v>4031.663</v>
      </c>
      <c r="D87" s="123"/>
      <c r="E87" s="124">
        <v>3407.8240000000001</v>
      </c>
      <c r="F87" s="124">
        <v>1334.9670000000001</v>
      </c>
      <c r="G87" s="124">
        <v>902.71600000000001</v>
      </c>
      <c r="H87" s="124">
        <v>9731.9560000000001</v>
      </c>
      <c r="I87" s="124">
        <v>5851.1049999999996</v>
      </c>
      <c r="J87" s="124">
        <v>3606.04</v>
      </c>
      <c r="K87" s="124">
        <v>358.06400000000002</v>
      </c>
      <c r="L87" s="124">
        <v>146.48599999999999</v>
      </c>
      <c r="M87" s="124">
        <v>10.122999999999999</v>
      </c>
      <c r="N87" s="124">
        <v>4</v>
      </c>
      <c r="O87" s="124">
        <v>0</v>
      </c>
      <c r="P87" s="124">
        <v>0</v>
      </c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>
        <v>373951</v>
      </c>
      <c r="AG87" s="124">
        <v>0</v>
      </c>
    </row>
    <row r="88" spans="1:33">
      <c r="A88" s="114" t="s">
        <v>133</v>
      </c>
      <c r="B88" s="123"/>
      <c r="C88" s="123"/>
      <c r="D88" s="123"/>
      <c r="E88" s="124"/>
      <c r="F88" s="124">
        <v>557.46100000000001</v>
      </c>
      <c r="G88" s="124">
        <v>1225.271</v>
      </c>
      <c r="H88" s="124">
        <v>1274.1389999999999</v>
      </c>
      <c r="I88" s="124">
        <v>1814.278</v>
      </c>
      <c r="J88" s="124">
        <v>2532.6970000000001</v>
      </c>
      <c r="K88" s="124">
        <v>3107.6489999999999</v>
      </c>
      <c r="L88" s="124">
        <v>4563.4390000000003</v>
      </c>
      <c r="M88" s="123">
        <v>0</v>
      </c>
      <c r="N88" s="124">
        <v>20441</v>
      </c>
      <c r="O88" s="124">
        <v>39555</v>
      </c>
      <c r="P88" s="124">
        <v>138187</v>
      </c>
      <c r="Q88" s="124">
        <v>131388</v>
      </c>
      <c r="R88" s="124">
        <v>124899</v>
      </c>
      <c r="S88" s="124">
        <v>117151</v>
      </c>
      <c r="T88" s="124">
        <v>110383</v>
      </c>
      <c r="U88" s="124">
        <v>112216</v>
      </c>
      <c r="V88" s="124">
        <v>68009</v>
      </c>
      <c r="W88" s="124">
        <v>351590</v>
      </c>
      <c r="X88" s="124">
        <v>353173</v>
      </c>
      <c r="Y88" s="124">
        <v>334354</v>
      </c>
      <c r="Z88" s="124">
        <v>312224</v>
      </c>
      <c r="AA88" s="124">
        <v>287469</v>
      </c>
      <c r="AB88" s="124">
        <v>264436</v>
      </c>
      <c r="AC88" s="124">
        <v>243249</v>
      </c>
      <c r="AD88" s="124">
        <v>223800</v>
      </c>
      <c r="AE88" s="124">
        <v>204251</v>
      </c>
      <c r="AF88" s="124">
        <v>179008</v>
      </c>
      <c r="AG88" s="124">
        <v>159991</v>
      </c>
    </row>
    <row r="89" spans="1:33">
      <c r="A89" s="114" t="s">
        <v>177</v>
      </c>
      <c r="B89" s="123"/>
      <c r="C89" s="123">
        <v>0</v>
      </c>
      <c r="D89" s="123">
        <v>0</v>
      </c>
      <c r="E89" s="123">
        <v>0</v>
      </c>
      <c r="F89" s="123">
        <v>0</v>
      </c>
      <c r="G89" s="123">
        <v>0</v>
      </c>
      <c r="H89" s="123">
        <v>0</v>
      </c>
      <c r="I89" s="123">
        <v>0</v>
      </c>
      <c r="J89" s="123">
        <v>0</v>
      </c>
      <c r="K89" s="123">
        <v>0</v>
      </c>
      <c r="L89" s="123">
        <v>0</v>
      </c>
      <c r="M89" s="124">
        <v>5414</v>
      </c>
      <c r="N89" s="124">
        <v>0</v>
      </c>
      <c r="O89" s="124">
        <v>0</v>
      </c>
      <c r="P89" s="124">
        <v>0</v>
      </c>
      <c r="Q89" s="124">
        <v>0</v>
      </c>
      <c r="R89" s="124">
        <v>0</v>
      </c>
      <c r="S89" s="124">
        <v>0</v>
      </c>
      <c r="T89" s="124">
        <v>0</v>
      </c>
      <c r="U89" s="124">
        <v>0</v>
      </c>
      <c r="V89" s="124">
        <v>0</v>
      </c>
      <c r="W89" s="124">
        <v>0</v>
      </c>
      <c r="X89" s="124">
        <v>0</v>
      </c>
      <c r="Y89" s="124"/>
      <c r="Z89" s="124"/>
      <c r="AA89" s="124"/>
      <c r="AB89" s="124"/>
      <c r="AC89" s="124"/>
      <c r="AD89" s="124"/>
      <c r="AE89" s="124"/>
      <c r="AF89" s="124"/>
      <c r="AG89" s="124"/>
    </row>
    <row r="90" spans="1:33">
      <c r="A90" s="114" t="s">
        <v>178</v>
      </c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>
        <v>1095</v>
      </c>
      <c r="Z90" s="124">
        <v>2621</v>
      </c>
      <c r="AA90" s="124"/>
      <c r="AB90" s="124">
        <v>27432</v>
      </c>
      <c r="AC90" s="124">
        <v>29508</v>
      </c>
      <c r="AD90" s="124">
        <v>42286</v>
      </c>
      <c r="AE90" s="124">
        <v>91838</v>
      </c>
      <c r="AF90" s="124">
        <v>110893</v>
      </c>
      <c r="AG90" s="124">
        <v>127066</v>
      </c>
    </row>
    <row r="91" spans="1:33">
      <c r="A91" s="114" t="s">
        <v>179</v>
      </c>
      <c r="B91" s="123"/>
      <c r="C91" s="120">
        <f t="shared" ref="C91:AG91" si="27">C88+C87+C89+C90</f>
        <v>4031.663</v>
      </c>
      <c r="D91" s="120">
        <f t="shared" si="27"/>
        <v>0</v>
      </c>
      <c r="E91" s="120">
        <f t="shared" si="27"/>
        <v>3407.8240000000001</v>
      </c>
      <c r="F91" s="120">
        <f t="shared" si="27"/>
        <v>1892.4280000000001</v>
      </c>
      <c r="G91" s="120">
        <f t="shared" si="27"/>
        <v>2127.9870000000001</v>
      </c>
      <c r="H91" s="120">
        <f t="shared" si="27"/>
        <v>11006.094999999999</v>
      </c>
      <c r="I91" s="120">
        <f t="shared" si="27"/>
        <v>7665.3829999999998</v>
      </c>
      <c r="J91" s="120">
        <f t="shared" si="27"/>
        <v>6138.7370000000001</v>
      </c>
      <c r="K91" s="120">
        <f t="shared" si="27"/>
        <v>3465.7129999999997</v>
      </c>
      <c r="L91" s="120">
        <f t="shared" si="27"/>
        <v>4709.9250000000002</v>
      </c>
      <c r="M91" s="120">
        <f t="shared" si="27"/>
        <v>5424.1229999999996</v>
      </c>
      <c r="N91" s="120">
        <f t="shared" si="27"/>
        <v>20445</v>
      </c>
      <c r="O91" s="120">
        <f t="shared" si="27"/>
        <v>39555</v>
      </c>
      <c r="P91" s="120">
        <f t="shared" si="27"/>
        <v>138187</v>
      </c>
      <c r="Q91" s="120">
        <f t="shared" si="27"/>
        <v>131388</v>
      </c>
      <c r="R91" s="120">
        <f t="shared" si="27"/>
        <v>124899</v>
      </c>
      <c r="S91" s="120">
        <f t="shared" si="27"/>
        <v>117151</v>
      </c>
      <c r="T91" s="120">
        <f t="shared" si="27"/>
        <v>110383</v>
      </c>
      <c r="U91" s="120">
        <f t="shared" si="27"/>
        <v>112216</v>
      </c>
      <c r="V91" s="120">
        <f t="shared" si="27"/>
        <v>68009</v>
      </c>
      <c r="W91" s="120">
        <f t="shared" si="27"/>
        <v>351590</v>
      </c>
      <c r="X91" s="120">
        <f t="shared" si="27"/>
        <v>353173</v>
      </c>
      <c r="Y91" s="120">
        <f t="shared" si="27"/>
        <v>335449</v>
      </c>
      <c r="Z91" s="120">
        <f t="shared" si="27"/>
        <v>314845</v>
      </c>
      <c r="AA91" s="120">
        <f t="shared" si="27"/>
        <v>287469</v>
      </c>
      <c r="AB91" s="120">
        <f t="shared" si="27"/>
        <v>291868</v>
      </c>
      <c r="AC91" s="120">
        <f t="shared" si="27"/>
        <v>272757</v>
      </c>
      <c r="AD91" s="120">
        <f t="shared" si="27"/>
        <v>266086</v>
      </c>
      <c r="AE91" s="120">
        <f t="shared" si="27"/>
        <v>296089</v>
      </c>
      <c r="AF91" s="120">
        <f t="shared" si="27"/>
        <v>663852</v>
      </c>
      <c r="AG91" s="120">
        <f t="shared" si="27"/>
        <v>287057</v>
      </c>
    </row>
    <row r="92" spans="1:33">
      <c r="A92" s="142" t="s">
        <v>180</v>
      </c>
      <c r="B92" s="141"/>
      <c r="C92" s="126">
        <f t="shared" ref="C92:AG92" si="28">C91+C84</f>
        <v>9075.5040000000008</v>
      </c>
      <c r="D92" s="126">
        <f t="shared" si="28"/>
        <v>7281.6220000000003</v>
      </c>
      <c r="E92" s="126">
        <f t="shared" si="28"/>
        <v>6972.58</v>
      </c>
      <c r="F92" s="126">
        <f t="shared" si="28"/>
        <v>7984.549</v>
      </c>
      <c r="G92" s="126">
        <f t="shared" si="28"/>
        <v>10083.076000000001</v>
      </c>
      <c r="H92" s="126">
        <f t="shared" si="28"/>
        <v>16690.043999999998</v>
      </c>
      <c r="I92" s="126">
        <f t="shared" si="28"/>
        <v>13227.733</v>
      </c>
      <c r="J92" s="126">
        <f t="shared" si="28"/>
        <v>12092.761</v>
      </c>
      <c r="K92" s="126">
        <f t="shared" si="28"/>
        <v>12947.45</v>
      </c>
      <c r="L92" s="126">
        <f t="shared" si="28"/>
        <v>23451.088</v>
      </c>
      <c r="M92" s="126">
        <f t="shared" si="28"/>
        <v>38380.71</v>
      </c>
      <c r="N92" s="126">
        <f t="shared" si="28"/>
        <v>83288</v>
      </c>
      <c r="O92" s="126">
        <f t="shared" si="28"/>
        <v>122436</v>
      </c>
      <c r="P92" s="126">
        <f t="shared" si="28"/>
        <v>325521</v>
      </c>
      <c r="Q92" s="126">
        <f t="shared" si="28"/>
        <v>215117</v>
      </c>
      <c r="R92" s="126">
        <f t="shared" si="28"/>
        <v>253733</v>
      </c>
      <c r="S92" s="126">
        <f t="shared" si="28"/>
        <v>383241</v>
      </c>
      <c r="T92" s="126">
        <f t="shared" si="28"/>
        <v>398928</v>
      </c>
      <c r="U92" s="126">
        <f t="shared" si="28"/>
        <v>428230</v>
      </c>
      <c r="V92" s="126">
        <f t="shared" si="28"/>
        <v>423725</v>
      </c>
      <c r="W92" s="126">
        <f t="shared" si="28"/>
        <v>761867</v>
      </c>
      <c r="X92" s="126">
        <f t="shared" si="28"/>
        <v>823762</v>
      </c>
      <c r="Y92" s="126">
        <f t="shared" si="28"/>
        <v>895800</v>
      </c>
      <c r="Z92" s="126">
        <f t="shared" si="28"/>
        <v>915990</v>
      </c>
      <c r="AA92" s="126">
        <f t="shared" si="28"/>
        <v>857067</v>
      </c>
      <c r="AB92" s="126">
        <f t="shared" si="28"/>
        <v>1041856</v>
      </c>
      <c r="AC92" s="126">
        <f t="shared" si="28"/>
        <v>1237833</v>
      </c>
      <c r="AD92" s="126">
        <f t="shared" si="28"/>
        <v>1268064</v>
      </c>
      <c r="AE92" s="126">
        <f t="shared" si="28"/>
        <v>1457778</v>
      </c>
      <c r="AF92" s="126">
        <f t="shared" si="28"/>
        <v>1761371</v>
      </c>
      <c r="AG92" s="126">
        <f t="shared" si="28"/>
        <v>1734837</v>
      </c>
    </row>
    <row r="93" spans="1:33">
      <c r="B93" s="123"/>
      <c r="C93" s="123"/>
      <c r="D93" s="123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</row>
    <row r="94" spans="1:33">
      <c r="A94" s="125" t="s">
        <v>181</v>
      </c>
      <c r="B94" s="123"/>
      <c r="C94" s="123"/>
      <c r="D94" s="123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</row>
    <row r="95" spans="1:33">
      <c r="A95" s="114" t="s">
        <v>182</v>
      </c>
      <c r="B95" s="123"/>
      <c r="C95" s="123">
        <v>45.613999999999997</v>
      </c>
      <c r="D95" s="123">
        <v>45.613999999999997</v>
      </c>
      <c r="E95" s="124">
        <v>45.654000000000003</v>
      </c>
      <c r="F95" s="124">
        <v>49.56</v>
      </c>
      <c r="G95" s="124">
        <v>50.05</v>
      </c>
      <c r="H95" s="124">
        <v>50.744</v>
      </c>
      <c r="I95" s="124">
        <v>51.259</v>
      </c>
      <c r="J95" s="124">
        <v>51.298999999999999</v>
      </c>
      <c r="K95" s="124">
        <v>53.124000000000002</v>
      </c>
      <c r="L95" s="124">
        <v>55.598999999999997</v>
      </c>
      <c r="M95" s="124">
        <v>452</v>
      </c>
      <c r="N95" s="124">
        <v>464</v>
      </c>
      <c r="O95" s="124">
        <v>479</v>
      </c>
      <c r="P95" s="124">
        <v>484</v>
      </c>
      <c r="Q95" s="124">
        <v>486</v>
      </c>
      <c r="R95" s="124">
        <v>494</v>
      </c>
      <c r="S95" s="124">
        <v>994</v>
      </c>
      <c r="T95" s="124">
        <v>1019</v>
      </c>
      <c r="U95" s="124">
        <v>1030</v>
      </c>
      <c r="V95" s="124">
        <v>1035</v>
      </c>
      <c r="W95" s="124">
        <v>3105</v>
      </c>
      <c r="X95" s="124">
        <v>3116</v>
      </c>
      <c r="Y95" s="124">
        <v>3146</v>
      </c>
      <c r="Z95" s="124">
        <v>3155</v>
      </c>
      <c r="AA95" s="124">
        <v>3182</v>
      </c>
      <c r="AB95" s="124">
        <v>3193</v>
      </c>
      <c r="AC95" s="124">
        <v>3200</v>
      </c>
      <c r="AD95" s="124">
        <v>6418</v>
      </c>
      <c r="AE95" s="124">
        <v>5613</v>
      </c>
      <c r="AF95" s="124">
        <v>5632</v>
      </c>
      <c r="AG95" s="124">
        <v>5665</v>
      </c>
    </row>
    <row r="96" spans="1:33">
      <c r="A96" s="114" t="s">
        <v>136</v>
      </c>
      <c r="B96" s="123"/>
      <c r="C96" s="123">
        <v>10847.355</v>
      </c>
      <c r="D96" s="123">
        <v>10847.355</v>
      </c>
      <c r="E96" s="124">
        <v>10858.315000000001</v>
      </c>
      <c r="F96" s="124">
        <v>11207.764999999999</v>
      </c>
      <c r="G96" s="124">
        <v>11340.074000000001</v>
      </c>
      <c r="H96" s="124">
        <v>11667.619000000001</v>
      </c>
      <c r="I96" s="124">
        <v>11926.603999999999</v>
      </c>
      <c r="J96" s="124">
        <v>11934.564</v>
      </c>
      <c r="K96" s="124">
        <v>12681.169</v>
      </c>
      <c r="L96" s="124">
        <v>15813.540999999999</v>
      </c>
      <c r="M96" s="124">
        <v>19579</v>
      </c>
      <c r="N96" s="124">
        <v>48892</v>
      </c>
      <c r="O96" s="124">
        <v>96749</v>
      </c>
      <c r="P96" s="124">
        <v>117106</v>
      </c>
      <c r="Q96" s="124">
        <v>137040</v>
      </c>
      <c r="R96" s="124">
        <v>187040</v>
      </c>
      <c r="S96" s="124">
        <v>229301</v>
      </c>
      <c r="T96" s="124">
        <v>287953</v>
      </c>
      <c r="U96" s="124">
        <v>368069</v>
      </c>
      <c r="V96" s="124">
        <v>426145</v>
      </c>
      <c r="W96" s="124">
        <v>3989787</v>
      </c>
      <c r="X96" s="124">
        <v>4051245</v>
      </c>
      <c r="Y96" s="124">
        <v>4150628</v>
      </c>
      <c r="Z96" s="124">
        <v>4238170</v>
      </c>
      <c r="AA96" s="124">
        <v>4397511</v>
      </c>
      <c r="AB96" s="124">
        <v>4537982</v>
      </c>
      <c r="AC96" s="124">
        <v>4652620</v>
      </c>
      <c r="AD96" s="124">
        <v>4776804</v>
      </c>
      <c r="AE96" s="124">
        <v>4975115</v>
      </c>
      <c r="AF96" s="124">
        <v>5144922</v>
      </c>
      <c r="AG96" s="124">
        <v>5430847</v>
      </c>
    </row>
    <row r="97" spans="1:33">
      <c r="A97" s="114" t="s">
        <v>183</v>
      </c>
      <c r="B97" s="123"/>
      <c r="C97" s="133">
        <v>-2483.2660000000001</v>
      </c>
      <c r="D97" s="133">
        <v>-2126.1</v>
      </c>
      <c r="E97" s="133">
        <v>-875.94899999999996</v>
      </c>
      <c r="F97" s="123">
        <v>2752.0990000000002</v>
      </c>
      <c r="G97" s="123">
        <v>7235.7520000000004</v>
      </c>
      <c r="H97" s="123">
        <v>11150.878000000001</v>
      </c>
      <c r="I97" s="123">
        <v>14170.231</v>
      </c>
      <c r="J97" s="123">
        <v>17199.425999999999</v>
      </c>
      <c r="K97" s="123">
        <v>23129.83</v>
      </c>
      <c r="L97" s="123">
        <v>43516.633999999998</v>
      </c>
      <c r="M97" s="123">
        <v>106293</v>
      </c>
      <c r="N97" s="123">
        <v>204242</v>
      </c>
      <c r="O97" s="123">
        <v>353648</v>
      </c>
      <c r="P97" s="123">
        <v>461680</v>
      </c>
      <c r="Q97" s="123">
        <v>670396</v>
      </c>
      <c r="R97" s="123">
        <v>882425</v>
      </c>
      <c r="S97" s="123">
        <v>1168644</v>
      </c>
      <c r="T97" s="123">
        <v>1508664</v>
      </c>
      <c r="U97" s="123">
        <v>1847325</v>
      </c>
      <c r="V97" s="123">
        <v>2330510</v>
      </c>
      <c r="W97" s="123">
        <v>1394863</v>
      </c>
      <c r="X97" s="123">
        <v>2107548</v>
      </c>
      <c r="Y97" s="123">
        <v>2928226</v>
      </c>
      <c r="Z97" s="123">
        <v>3914645</v>
      </c>
      <c r="AA97" s="123">
        <v>5022480</v>
      </c>
      <c r="AB97" s="123">
        <v>6432074</v>
      </c>
      <c r="AC97" s="123">
        <v>7809549</v>
      </c>
      <c r="AD97" s="123">
        <v>9001173</v>
      </c>
      <c r="AE97" s="123">
        <v>5939736</v>
      </c>
      <c r="AF97" s="123">
        <v>7448784</v>
      </c>
      <c r="AG97" s="123">
        <v>9354216</v>
      </c>
    </row>
    <row r="98" spans="1:33">
      <c r="A98" s="114" t="s">
        <v>184</v>
      </c>
      <c r="B98" s="123"/>
      <c r="C98" s="123">
        <v>36.212000000000003</v>
      </c>
      <c r="D98" s="123">
        <v>60.582000000000001</v>
      </c>
      <c r="E98" s="133">
        <v>-67.241</v>
      </c>
      <c r="F98" s="133">
        <v>-67.241</v>
      </c>
      <c r="G98" s="123">
        <v>0</v>
      </c>
      <c r="H98" s="123"/>
      <c r="I98" s="123"/>
      <c r="J98" s="123"/>
      <c r="K98" s="123"/>
      <c r="L98" s="123"/>
      <c r="M98" s="123"/>
      <c r="N98" s="123"/>
      <c r="O98" s="133">
        <v>-47</v>
      </c>
      <c r="P98" s="133">
        <v>-10825</v>
      </c>
      <c r="Q98" s="133">
        <v>-4667</v>
      </c>
      <c r="R98" s="123">
        <v>281</v>
      </c>
      <c r="S98" s="133">
        <v>-1547</v>
      </c>
      <c r="T98" s="123">
        <v>2074</v>
      </c>
      <c r="U98" s="133">
        <v>-1233</v>
      </c>
      <c r="V98" s="133">
        <v>-11453</v>
      </c>
      <c r="W98" s="133">
        <v>-21878</v>
      </c>
      <c r="X98" s="133">
        <v>-23249</v>
      </c>
      <c r="Y98" s="133">
        <v>-16659</v>
      </c>
      <c r="Z98" s="133">
        <v>-32864</v>
      </c>
      <c r="AA98" s="133">
        <v>-32387</v>
      </c>
      <c r="AB98" s="123">
        <v>3034</v>
      </c>
      <c r="AC98" s="133">
        <v>-69165</v>
      </c>
      <c r="AD98" s="133">
        <v>-159073</v>
      </c>
      <c r="AE98" s="133">
        <v>-125337</v>
      </c>
      <c r="AF98" s="133">
        <v>-269487</v>
      </c>
      <c r="AG98" s="133">
        <v>-60841</v>
      </c>
    </row>
    <row r="99" spans="1:33">
      <c r="A99" s="114" t="s">
        <v>185</v>
      </c>
      <c r="B99" s="123"/>
      <c r="C99" s="123">
        <v>0</v>
      </c>
      <c r="D99" s="123">
        <v>0</v>
      </c>
      <c r="E99" s="123">
        <v>0</v>
      </c>
      <c r="F99" s="123">
        <v>0</v>
      </c>
      <c r="G99" s="123">
        <v>0</v>
      </c>
      <c r="H99" s="133">
        <v>-814.54499999999996</v>
      </c>
      <c r="I99" s="133">
        <v>-814.54499999999996</v>
      </c>
      <c r="J99" s="133">
        <v>-814.54499999999996</v>
      </c>
      <c r="K99" s="133">
        <v>-814.54499999999996</v>
      </c>
      <c r="L99" s="133">
        <v>-814.54499999999996</v>
      </c>
      <c r="M99" s="133">
        <v>-815</v>
      </c>
      <c r="N99" s="133">
        <v>-28514</v>
      </c>
      <c r="O99" s="133">
        <v>-28662</v>
      </c>
      <c r="P99" s="133">
        <v>-132129</v>
      </c>
      <c r="Q99" s="133">
        <v>-218302</v>
      </c>
      <c r="R99" s="133">
        <v>-241842</v>
      </c>
      <c r="S99" s="133">
        <v>-418234</v>
      </c>
      <c r="T99" s="133">
        <v>-1155313</v>
      </c>
      <c r="U99" s="133">
        <v>-1222912</v>
      </c>
      <c r="V99" s="133">
        <v>-1231087</v>
      </c>
      <c r="W99" s="133">
        <v>-556467</v>
      </c>
      <c r="X99" s="133">
        <v>-2808951</v>
      </c>
      <c r="Y99" s="133">
        <v>-3170129</v>
      </c>
      <c r="Z99" s="133">
        <v>-4512205</v>
      </c>
      <c r="AA99" s="133">
        <v>-5219505</v>
      </c>
      <c r="AB99" s="133">
        <v>-5815423</v>
      </c>
      <c r="AC99" s="133">
        <v>-5829253</v>
      </c>
      <c r="AD99" s="133">
        <v>-6600281</v>
      </c>
      <c r="AE99" s="133">
        <v>-2566383</v>
      </c>
      <c r="AF99" s="133">
        <v>-6372133</v>
      </c>
      <c r="AG99" s="133">
        <v>-6475779</v>
      </c>
    </row>
    <row r="100" spans="1:33">
      <c r="A100" s="127" t="s">
        <v>186</v>
      </c>
      <c r="B100" s="140"/>
      <c r="C100" s="139">
        <f t="shared" ref="C100:AG100" si="29">C99+C98+C97+C96+C95</f>
        <v>8445.9149999999991</v>
      </c>
      <c r="D100" s="139">
        <f t="shared" si="29"/>
        <v>8827.4509999999991</v>
      </c>
      <c r="E100" s="139">
        <f t="shared" si="29"/>
        <v>9960.7790000000005</v>
      </c>
      <c r="F100" s="139">
        <f t="shared" si="29"/>
        <v>13942.182999999999</v>
      </c>
      <c r="G100" s="139">
        <f t="shared" si="29"/>
        <v>18625.876</v>
      </c>
      <c r="H100" s="139">
        <f t="shared" si="29"/>
        <v>22054.696</v>
      </c>
      <c r="I100" s="139">
        <f t="shared" si="29"/>
        <v>25333.548999999999</v>
      </c>
      <c r="J100" s="139">
        <f t="shared" si="29"/>
        <v>28370.743999999999</v>
      </c>
      <c r="K100" s="139">
        <f t="shared" si="29"/>
        <v>35049.578000000009</v>
      </c>
      <c r="L100" s="139">
        <f t="shared" si="29"/>
        <v>58571.228999999999</v>
      </c>
      <c r="M100" s="139">
        <f t="shared" si="29"/>
        <v>125509</v>
      </c>
      <c r="N100" s="139">
        <f t="shared" si="29"/>
        <v>225084</v>
      </c>
      <c r="O100" s="139">
        <f t="shared" si="29"/>
        <v>422167</v>
      </c>
      <c r="P100" s="139">
        <f t="shared" si="29"/>
        <v>436316</v>
      </c>
      <c r="Q100" s="139">
        <f t="shared" si="29"/>
        <v>584953</v>
      </c>
      <c r="R100" s="139">
        <f t="shared" si="29"/>
        <v>828398</v>
      </c>
      <c r="S100" s="139">
        <f t="shared" si="29"/>
        <v>979158</v>
      </c>
      <c r="T100" s="139">
        <f t="shared" si="29"/>
        <v>644397</v>
      </c>
      <c r="U100" s="139">
        <f t="shared" si="29"/>
        <v>992279</v>
      </c>
      <c r="V100" s="139">
        <f t="shared" si="29"/>
        <v>1515150</v>
      </c>
      <c r="W100" s="139">
        <f t="shared" si="29"/>
        <v>4809410</v>
      </c>
      <c r="X100" s="139">
        <f t="shared" si="29"/>
        <v>3329709</v>
      </c>
      <c r="Y100" s="139">
        <f t="shared" si="29"/>
        <v>3895212</v>
      </c>
      <c r="Z100" s="139">
        <f t="shared" si="29"/>
        <v>3610901</v>
      </c>
      <c r="AA100" s="139">
        <f t="shared" si="29"/>
        <v>4171281</v>
      </c>
      <c r="AB100" s="139">
        <f t="shared" si="29"/>
        <v>5160860</v>
      </c>
      <c r="AC100" s="139">
        <f t="shared" si="29"/>
        <v>6566951</v>
      </c>
      <c r="AD100" s="139">
        <f t="shared" si="29"/>
        <v>7025041</v>
      </c>
      <c r="AE100" s="139">
        <f t="shared" si="29"/>
        <v>8228744</v>
      </c>
      <c r="AF100" s="139">
        <f t="shared" si="29"/>
        <v>5957718</v>
      </c>
      <c r="AG100" s="139">
        <f t="shared" si="29"/>
        <v>8254108</v>
      </c>
    </row>
    <row r="101" spans="1:33">
      <c r="A101" s="127" t="s">
        <v>187</v>
      </c>
      <c r="B101" s="139"/>
      <c r="C101" s="139">
        <f t="shared" ref="C101:AG101" si="30">C100+C92</f>
        <v>17521.419000000002</v>
      </c>
      <c r="D101" s="139">
        <f t="shared" si="30"/>
        <v>16109.073</v>
      </c>
      <c r="E101" s="139">
        <f t="shared" si="30"/>
        <v>16933.359</v>
      </c>
      <c r="F101" s="139">
        <f t="shared" si="30"/>
        <v>21926.732</v>
      </c>
      <c r="G101" s="139">
        <f t="shared" si="30"/>
        <v>28708.952000000001</v>
      </c>
      <c r="H101" s="139">
        <f t="shared" si="30"/>
        <v>38744.74</v>
      </c>
      <c r="I101" s="139">
        <f t="shared" si="30"/>
        <v>38561.281999999999</v>
      </c>
      <c r="J101" s="139">
        <f t="shared" si="30"/>
        <v>40463.504999999997</v>
      </c>
      <c r="K101" s="139">
        <f t="shared" si="30"/>
        <v>47997.028000000006</v>
      </c>
      <c r="L101" s="139">
        <f t="shared" si="30"/>
        <v>82022.316999999995</v>
      </c>
      <c r="M101" s="139">
        <f t="shared" si="30"/>
        <v>163889.71</v>
      </c>
      <c r="N101" s="139">
        <f t="shared" si="30"/>
        <v>308372</v>
      </c>
      <c r="O101" s="139">
        <f t="shared" si="30"/>
        <v>544603</v>
      </c>
      <c r="P101" s="139">
        <f t="shared" si="30"/>
        <v>761837</v>
      </c>
      <c r="Q101" s="139">
        <f t="shared" si="30"/>
        <v>800070</v>
      </c>
      <c r="R101" s="139">
        <f t="shared" si="30"/>
        <v>1082131</v>
      </c>
      <c r="S101" s="139">
        <f t="shared" si="30"/>
        <v>1362399</v>
      </c>
      <c r="T101" s="139">
        <f t="shared" si="30"/>
        <v>1043325</v>
      </c>
      <c r="U101" s="139">
        <f t="shared" si="30"/>
        <v>1420509</v>
      </c>
      <c r="V101" s="139">
        <f t="shared" si="30"/>
        <v>1938875</v>
      </c>
      <c r="W101" s="139">
        <f t="shared" si="30"/>
        <v>5571277</v>
      </c>
      <c r="X101" s="139">
        <f t="shared" si="30"/>
        <v>4153471</v>
      </c>
      <c r="Y101" s="139">
        <f t="shared" si="30"/>
        <v>4791012</v>
      </c>
      <c r="Z101" s="139">
        <f t="shared" si="30"/>
        <v>4526891</v>
      </c>
      <c r="AA101" s="139">
        <f t="shared" si="30"/>
        <v>5028348</v>
      </c>
      <c r="AB101" s="139">
        <f t="shared" si="30"/>
        <v>6202716</v>
      </c>
      <c r="AC101" s="139">
        <f t="shared" si="30"/>
        <v>7804784</v>
      </c>
      <c r="AD101" s="139">
        <f t="shared" si="30"/>
        <v>8293105</v>
      </c>
      <c r="AE101" s="139">
        <f t="shared" si="30"/>
        <v>9686522</v>
      </c>
      <c r="AF101" s="139">
        <f t="shared" si="30"/>
        <v>7719089</v>
      </c>
      <c r="AG101" s="139">
        <f t="shared" si="30"/>
        <v>9988945</v>
      </c>
    </row>
    <row r="102" spans="1:33"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</row>
    <row r="103" spans="1:33"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</row>
    <row r="104" spans="1:33" ht="17.399999999999999">
      <c r="A104" s="138" t="s">
        <v>320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</row>
    <row r="105" spans="1:33">
      <c r="A105" s="137" t="s">
        <v>155</v>
      </c>
      <c r="B105" s="136">
        <v>-1407.347</v>
      </c>
      <c r="C105" s="136">
        <v>-1349.693</v>
      </c>
      <c r="D105" s="136">
        <v>357.166</v>
      </c>
      <c r="E105" s="135">
        <v>1250.1510000000001</v>
      </c>
      <c r="F105" s="135">
        <v>3563.1289999999999</v>
      </c>
      <c r="G105" s="135">
        <v>4477.8680000000004</v>
      </c>
      <c r="H105" s="135">
        <v>3915.1260000000002</v>
      </c>
      <c r="I105" s="135">
        <v>3019.3530000000001</v>
      </c>
      <c r="J105" s="135">
        <v>3029.1950000000002</v>
      </c>
      <c r="K105" s="135">
        <v>5930.4040000000005</v>
      </c>
      <c r="L105" s="135">
        <v>20386.804</v>
      </c>
      <c r="M105" s="135">
        <v>62775.976000000002</v>
      </c>
      <c r="N105" s="135">
        <v>97949</v>
      </c>
      <c r="O105" s="135">
        <v>149406</v>
      </c>
      <c r="P105" s="135">
        <v>108032</v>
      </c>
      <c r="Q105" s="135">
        <v>208716</v>
      </c>
      <c r="R105" s="135">
        <v>212029</v>
      </c>
      <c r="S105" s="135">
        <v>286219</v>
      </c>
      <c r="T105" s="135">
        <v>340020</v>
      </c>
      <c r="U105" s="135">
        <v>338661</v>
      </c>
      <c r="V105" s="135">
        <v>483185</v>
      </c>
      <c r="W105" s="135">
        <v>546733</v>
      </c>
      <c r="X105" s="132">
        <v>712685</v>
      </c>
      <c r="Y105" s="132">
        <v>820678</v>
      </c>
      <c r="Z105" s="132">
        <v>993004</v>
      </c>
      <c r="AA105" s="132">
        <v>1107835</v>
      </c>
      <c r="AB105" s="132">
        <v>1409594</v>
      </c>
      <c r="AC105" s="132">
        <v>1377475</v>
      </c>
      <c r="AD105" s="132">
        <v>1191624</v>
      </c>
      <c r="AE105" s="132">
        <v>1630988</v>
      </c>
      <c r="AF105" s="132">
        <v>1509048</v>
      </c>
      <c r="AG105" s="132">
        <v>1905432</v>
      </c>
    </row>
    <row r="106" spans="1:33">
      <c r="A106" s="114" t="s">
        <v>319</v>
      </c>
      <c r="B106" s="133">
        <v>193.91200000000001</v>
      </c>
      <c r="C106" s="133">
        <v>246.96899999999999</v>
      </c>
      <c r="D106" s="133">
        <v>249.035</v>
      </c>
      <c r="E106" s="132">
        <v>270.11399999999998</v>
      </c>
      <c r="F106" s="132">
        <v>246.494</v>
      </c>
      <c r="G106" s="132">
        <v>258.34300000000002</v>
      </c>
      <c r="H106" s="132">
        <v>314.66199999999998</v>
      </c>
      <c r="I106" s="132">
        <v>436.459</v>
      </c>
      <c r="J106" s="132">
        <v>493.89400000000001</v>
      </c>
      <c r="K106" s="132">
        <v>584.197</v>
      </c>
      <c r="L106" s="132">
        <v>770.41300000000001</v>
      </c>
      <c r="M106" s="132">
        <v>1008.629</v>
      </c>
      <c r="N106" s="132">
        <v>1538</v>
      </c>
      <c r="O106" s="132">
        <v>2128</v>
      </c>
      <c r="P106" s="132">
        <v>3417</v>
      </c>
      <c r="Q106" s="132">
        <v>5839</v>
      </c>
      <c r="R106" s="132">
        <v>11728</v>
      </c>
      <c r="S106" s="132">
        <v>17032</v>
      </c>
      <c r="T106" s="132">
        <v>20563</v>
      </c>
      <c r="U106" s="132">
        <v>22762</v>
      </c>
      <c r="V106" s="132">
        <v>25651</v>
      </c>
      <c r="W106" s="132">
        <v>30860</v>
      </c>
      <c r="X106" s="132">
        <v>40845</v>
      </c>
      <c r="Y106" s="132">
        <v>48887</v>
      </c>
      <c r="Z106" s="132">
        <v>56979</v>
      </c>
      <c r="AA106" s="132">
        <v>60727</v>
      </c>
      <c r="AB106" s="132">
        <v>57030</v>
      </c>
      <c r="AC106" s="132">
        <v>50155</v>
      </c>
      <c r="AD106" s="132">
        <v>61241</v>
      </c>
      <c r="AE106" s="132">
        <v>68898</v>
      </c>
      <c r="AF106" s="132">
        <v>80434</v>
      </c>
      <c r="AG106" s="132">
        <v>114441</v>
      </c>
    </row>
    <row r="107" spans="1:33">
      <c r="A107" s="114" t="s">
        <v>318</v>
      </c>
      <c r="B107" s="133">
        <v>493.33600000000001</v>
      </c>
      <c r="C107" s="133">
        <v>497.75</v>
      </c>
      <c r="D107" s="133">
        <v>396.755</v>
      </c>
      <c r="E107" s="132">
        <v>301.23700000000002</v>
      </c>
      <c r="F107" s="132">
        <v>296.584</v>
      </c>
      <c r="G107" s="132">
        <v>307.82400000000001</v>
      </c>
      <c r="H107" s="132">
        <v>371.07299999999998</v>
      </c>
      <c r="I107" s="132">
        <v>507.488</v>
      </c>
      <c r="J107" s="132">
        <v>54.558</v>
      </c>
      <c r="K107" s="132">
        <v>61.887999999999998</v>
      </c>
      <c r="L107" s="132">
        <v>73.046000000000006</v>
      </c>
      <c r="M107" s="132">
        <v>70.102000000000004</v>
      </c>
      <c r="N107" s="132">
        <v>56</v>
      </c>
      <c r="O107" s="132">
        <v>56</v>
      </c>
      <c r="P107" s="132">
        <v>55</v>
      </c>
      <c r="Q107" s="132">
        <v>68</v>
      </c>
      <c r="R107" s="132">
        <v>48</v>
      </c>
      <c r="S107" s="132">
        <v>52</v>
      </c>
      <c r="T107" s="132"/>
      <c r="U107" s="132"/>
      <c r="V107" s="132"/>
      <c r="W107" s="132"/>
      <c r="X107" s="132"/>
      <c r="Y107" s="132"/>
      <c r="Z107" s="132"/>
      <c r="AA107" s="132"/>
      <c r="AB107" s="132"/>
      <c r="AC107" s="132"/>
      <c r="AD107" s="132"/>
      <c r="AE107" s="132"/>
      <c r="AF107" s="132"/>
      <c r="AG107" s="132"/>
    </row>
    <row r="108" spans="1:33">
      <c r="A108" s="114" t="s">
        <v>317</v>
      </c>
      <c r="B108" s="133"/>
      <c r="C108" s="133"/>
      <c r="D108" s="133"/>
      <c r="E108" s="132"/>
      <c r="F108" s="132"/>
      <c r="G108" s="132"/>
      <c r="H108" s="132"/>
      <c r="I108" s="132"/>
      <c r="J108" s="132"/>
      <c r="K108" s="132"/>
      <c r="L108" s="132">
        <v>587.87699999999995</v>
      </c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</row>
    <row r="109" spans="1:33">
      <c r="A109" s="114" t="s">
        <v>316</v>
      </c>
      <c r="B109" s="133">
        <v>-12.003</v>
      </c>
      <c r="C109" s="133">
        <v>-2.129</v>
      </c>
      <c r="D109" s="133"/>
      <c r="E109" s="132">
        <v>69.745000000000005</v>
      </c>
      <c r="F109" s="132">
        <v>0.317</v>
      </c>
      <c r="G109" s="132">
        <v>15.569000000000001</v>
      </c>
      <c r="H109" s="132">
        <v>52.786000000000001</v>
      </c>
      <c r="I109" s="132">
        <v>-15.071999999999999</v>
      </c>
      <c r="J109" s="132">
        <v>5.3179999999999996</v>
      </c>
      <c r="K109" s="132">
        <v>31.992000000000001</v>
      </c>
      <c r="L109" s="132">
        <v>120.2</v>
      </c>
      <c r="M109" s="132">
        <v>180.08500000000001</v>
      </c>
      <c r="N109" s="132">
        <v>174</v>
      </c>
      <c r="O109" s="132">
        <v>120</v>
      </c>
      <c r="P109" s="132">
        <v>101</v>
      </c>
      <c r="Q109" s="132">
        <v>-144</v>
      </c>
      <c r="R109" s="132">
        <v>194</v>
      </c>
      <c r="S109" s="132">
        <v>-18</v>
      </c>
      <c r="T109" s="132">
        <v>25</v>
      </c>
      <c r="U109" s="132">
        <v>506</v>
      </c>
      <c r="V109" s="132">
        <v>-408</v>
      </c>
      <c r="W109" s="132">
        <v>193</v>
      </c>
      <c r="X109" s="132">
        <v>-204</v>
      </c>
      <c r="Y109" s="132">
        <v>-1161</v>
      </c>
      <c r="Z109" s="132">
        <v>-783</v>
      </c>
      <c r="AA109" s="132">
        <v>-252</v>
      </c>
      <c r="AB109" s="132">
        <v>-350</v>
      </c>
      <c r="AC109" s="132">
        <v>-1013</v>
      </c>
      <c r="AD109" s="132">
        <v>-185</v>
      </c>
      <c r="AE109" s="132">
        <v>166</v>
      </c>
      <c r="AF109" s="132">
        <v>3328</v>
      </c>
      <c r="AG109" s="132">
        <v>2781</v>
      </c>
    </row>
    <row r="110" spans="1:33">
      <c r="A110" s="114" t="s">
        <v>315</v>
      </c>
      <c r="B110" s="133"/>
      <c r="C110" s="133"/>
      <c r="D110" s="133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>
        <v>-161470</v>
      </c>
      <c r="X110" s="132">
        <v>0</v>
      </c>
      <c r="Y110" s="132">
        <v>0</v>
      </c>
      <c r="Z110" s="132"/>
      <c r="AA110" s="132"/>
      <c r="AB110" s="132"/>
      <c r="AC110" s="132"/>
      <c r="AD110" s="132"/>
      <c r="AE110" s="132"/>
      <c r="AF110" s="132"/>
      <c r="AG110" s="132"/>
    </row>
    <row r="111" spans="1:33">
      <c r="A111" s="114" t="s">
        <v>314</v>
      </c>
      <c r="B111" s="133"/>
      <c r="C111" s="133"/>
      <c r="D111" s="133"/>
      <c r="E111" s="132"/>
      <c r="F111" s="132">
        <v>64.918999999999997</v>
      </c>
      <c r="G111" s="132">
        <v>73.025999999999996</v>
      </c>
      <c r="H111" s="132"/>
      <c r="I111" s="132">
        <v>230.87899999999999</v>
      </c>
      <c r="J111" s="132"/>
      <c r="K111" s="132"/>
      <c r="L111" s="132"/>
      <c r="M111" s="132"/>
      <c r="N111" s="132">
        <v>8346</v>
      </c>
      <c r="O111" s="132">
        <v>10246</v>
      </c>
      <c r="P111" s="132">
        <v>13899</v>
      </c>
      <c r="Q111" s="132">
        <v>14040</v>
      </c>
      <c r="R111" s="132">
        <v>16862</v>
      </c>
      <c r="S111" s="132">
        <v>19424</v>
      </c>
      <c r="T111" s="132">
        <v>28413</v>
      </c>
      <c r="U111" s="132">
        <v>28764</v>
      </c>
      <c r="V111" s="132">
        <v>28552</v>
      </c>
      <c r="W111" s="132">
        <v>32719</v>
      </c>
      <c r="X111" s="132">
        <v>45848</v>
      </c>
      <c r="Y111" s="132">
        <v>52282</v>
      </c>
      <c r="Z111" s="132">
        <v>57111</v>
      </c>
      <c r="AA111" s="132">
        <v>63356</v>
      </c>
      <c r="AB111" s="132">
        <v>70289</v>
      </c>
      <c r="AC111" s="132">
        <v>70483</v>
      </c>
      <c r="AD111" s="132">
        <v>64109</v>
      </c>
      <c r="AE111" s="132">
        <v>68836</v>
      </c>
      <c r="AF111" s="132">
        <v>90985</v>
      </c>
      <c r="AG111" s="132">
        <v>125687</v>
      </c>
    </row>
    <row r="112" spans="1:33">
      <c r="A112" s="114" t="s">
        <v>313</v>
      </c>
      <c r="B112" s="133"/>
      <c r="C112" s="133"/>
      <c r="D112" s="133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>
        <v>0</v>
      </c>
      <c r="R112" s="132">
        <v>-3768</v>
      </c>
      <c r="S112" s="132">
        <v>727</v>
      </c>
      <c r="T112" s="132">
        <v>1111</v>
      </c>
      <c r="U112" s="132">
        <v>838</v>
      </c>
      <c r="V112" s="132">
        <v>842</v>
      </c>
      <c r="W112" s="132">
        <v>250</v>
      </c>
      <c r="X112" s="132">
        <v>0</v>
      </c>
      <c r="Y112" s="132">
        <v>0</v>
      </c>
      <c r="Z112" s="132"/>
      <c r="AA112" s="132"/>
      <c r="AB112" s="132"/>
      <c r="AC112" s="132"/>
      <c r="AD112" s="132"/>
      <c r="AE112" s="132"/>
      <c r="AF112" s="132"/>
      <c r="AG112" s="132"/>
    </row>
    <row r="113" spans="1:33">
      <c r="A113" s="114" t="s">
        <v>312</v>
      </c>
      <c r="B113" s="133"/>
      <c r="C113" s="133"/>
      <c r="D113" s="133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>
        <v>3887</v>
      </c>
      <c r="R113" s="132">
        <v>4526</v>
      </c>
      <c r="S113" s="132">
        <v>43</v>
      </c>
      <c r="T113" s="132">
        <v>-1897</v>
      </c>
      <c r="U113" s="132">
        <v>-3553</v>
      </c>
      <c r="V113" s="132">
        <v>-801</v>
      </c>
      <c r="W113" s="132">
        <v>-250</v>
      </c>
      <c r="X113" s="132">
        <v>0</v>
      </c>
      <c r="Y113" s="132">
        <v>0</v>
      </c>
      <c r="Z113" s="132"/>
      <c r="AA113" s="132"/>
      <c r="AB113" s="132"/>
      <c r="AC113" s="132"/>
      <c r="AD113" s="132"/>
      <c r="AE113" s="132"/>
      <c r="AF113" s="132"/>
      <c r="AG113" s="132"/>
    </row>
    <row r="114" spans="1:33">
      <c r="A114" s="114" t="s">
        <v>311</v>
      </c>
      <c r="B114" s="133"/>
      <c r="C114" s="133"/>
      <c r="D114" s="133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>
        <v>4087</v>
      </c>
      <c r="AB114" s="132">
        <v>3943</v>
      </c>
      <c r="AC114" s="132">
        <v>4107</v>
      </c>
      <c r="AD114" s="132">
        <v>7337</v>
      </c>
      <c r="AE114" s="132">
        <v>9043</v>
      </c>
      <c r="AF114" s="132">
        <v>13521</v>
      </c>
      <c r="AG114" s="132">
        <v>15398</v>
      </c>
    </row>
    <row r="115" spans="1:33">
      <c r="A115" s="114" t="s">
        <v>310</v>
      </c>
      <c r="B115" s="133"/>
      <c r="C115" s="133"/>
      <c r="D115" s="133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>
        <v>0</v>
      </c>
      <c r="AB115" s="132">
        <v>8700</v>
      </c>
      <c r="AC115" s="132">
        <v>0</v>
      </c>
      <c r="AD115" s="132">
        <v>2200</v>
      </c>
      <c r="AE115" s="132">
        <v>38700</v>
      </c>
      <c r="AF115" s="132">
        <v>127098</v>
      </c>
      <c r="AG115" s="132">
        <v>38411</v>
      </c>
    </row>
    <row r="116" spans="1:33">
      <c r="A116" s="114" t="s">
        <v>309</v>
      </c>
      <c r="B116" s="133"/>
      <c r="C116" s="133"/>
      <c r="D116" s="133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2">
        <v>-45382</v>
      </c>
      <c r="AF116" s="132">
        <v>0</v>
      </c>
      <c r="AG116" s="132">
        <v>0</v>
      </c>
    </row>
    <row r="117" spans="1:33">
      <c r="A117" s="114" t="s">
        <v>308</v>
      </c>
      <c r="B117" s="133"/>
      <c r="C117" s="133"/>
      <c r="D117" s="133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>
        <v>4336</v>
      </c>
      <c r="AF117" s="132">
        <v>8184</v>
      </c>
      <c r="AG117" s="132">
        <v>12029</v>
      </c>
    </row>
    <row r="118" spans="1:33">
      <c r="A118" s="114" t="s">
        <v>307</v>
      </c>
      <c r="B118" s="133"/>
      <c r="C118" s="133"/>
      <c r="D118" s="133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>
        <v>527</v>
      </c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2"/>
      <c r="AG118" s="132"/>
    </row>
    <row r="119" spans="1:33">
      <c r="A119" s="114" t="s">
        <v>177</v>
      </c>
      <c r="B119" s="133"/>
      <c r="C119" s="133"/>
      <c r="D119" s="133"/>
      <c r="E119" s="132"/>
      <c r="F119" s="132">
        <v>557.46100000000001</v>
      </c>
      <c r="G119" s="132">
        <v>-75.554000000000002</v>
      </c>
      <c r="H119" s="132">
        <v>-89.385999999999996</v>
      </c>
      <c r="I119" s="132">
        <v>472.58100000000002</v>
      </c>
      <c r="J119" s="132">
        <v>522.46199999999999</v>
      </c>
      <c r="K119" s="132">
        <v>-360.524</v>
      </c>
      <c r="L119" s="132">
        <v>-172.54300000000001</v>
      </c>
      <c r="M119" s="132">
        <v>-945.88099999999997</v>
      </c>
      <c r="N119" s="132">
        <v>-10863</v>
      </c>
      <c r="O119" s="132">
        <v>-14244</v>
      </c>
      <c r="P119" s="132">
        <v>-44594</v>
      </c>
      <c r="Q119" s="132">
        <v>-3163</v>
      </c>
      <c r="R119" s="132">
        <v>-1361</v>
      </c>
      <c r="S119" s="132">
        <v>-687</v>
      </c>
      <c r="T119" s="132">
        <v>-2460</v>
      </c>
      <c r="U119" s="132">
        <v>-7074</v>
      </c>
      <c r="V119" s="132">
        <v>-9846</v>
      </c>
      <c r="W119" s="132">
        <v>-302424</v>
      </c>
      <c r="X119" s="132">
        <v>-19092</v>
      </c>
      <c r="Y119" s="132">
        <v>67935</v>
      </c>
      <c r="Z119" s="132">
        <v>-510</v>
      </c>
      <c r="AA119" s="132">
        <v>1263</v>
      </c>
      <c r="AB119" s="132">
        <v>-156873</v>
      </c>
      <c r="AC119" s="132">
        <v>16429</v>
      </c>
      <c r="AD119" s="132">
        <v>48182</v>
      </c>
      <c r="AE119" s="132">
        <v>2040</v>
      </c>
      <c r="AF119" s="132">
        <v>-11705</v>
      </c>
      <c r="AG119" s="132">
        <v>4210</v>
      </c>
    </row>
    <row r="120" spans="1:33">
      <c r="A120" s="114" t="s">
        <v>272</v>
      </c>
      <c r="B120" s="133"/>
      <c r="C120" s="133"/>
      <c r="D120" s="133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>
        <v>-17284</v>
      </c>
      <c r="O120" s="132">
        <v>-29454</v>
      </c>
      <c r="P120" s="132">
        <v>-4334</v>
      </c>
      <c r="Q120" s="132">
        <v>-3131</v>
      </c>
      <c r="R120" s="132">
        <v>-12374</v>
      </c>
      <c r="S120" s="132">
        <v>-3824</v>
      </c>
      <c r="T120" s="132">
        <v>-19656</v>
      </c>
      <c r="U120" s="132">
        <v>-30348</v>
      </c>
      <c r="V120" s="132">
        <v>-11924</v>
      </c>
      <c r="W120" s="132">
        <v>-314737</v>
      </c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</row>
    <row r="121" spans="1:33">
      <c r="A121" s="114" t="s">
        <v>306</v>
      </c>
      <c r="B121" s="133"/>
      <c r="C121" s="133"/>
      <c r="D121" s="133"/>
      <c r="E121" s="132"/>
      <c r="F121" s="132"/>
      <c r="G121" s="132"/>
      <c r="H121" s="132"/>
      <c r="I121" s="132"/>
      <c r="J121" s="132"/>
      <c r="K121" s="132">
        <v>16.995999999999999</v>
      </c>
      <c r="L121" s="132">
        <v>-116.31100000000001</v>
      </c>
      <c r="M121" s="132">
        <v>86.783000000000001</v>
      </c>
      <c r="N121" s="132">
        <v>73</v>
      </c>
      <c r="O121" s="132">
        <v>-120</v>
      </c>
      <c r="P121" s="132">
        <v>-33</v>
      </c>
      <c r="Q121" s="132">
        <v>671</v>
      </c>
      <c r="R121" s="132">
        <v>1659</v>
      </c>
      <c r="S121" s="132">
        <v>52</v>
      </c>
      <c r="T121" s="132"/>
      <c r="U121" s="132"/>
      <c r="V121" s="132"/>
      <c r="W121" s="132"/>
      <c r="X121" s="132"/>
      <c r="Y121" s="132"/>
      <c r="Z121" s="132"/>
      <c r="AA121" s="132"/>
      <c r="AB121" s="132"/>
      <c r="AC121" s="132"/>
      <c r="AD121" s="132"/>
      <c r="AE121" s="132"/>
      <c r="AF121" s="132"/>
      <c r="AG121" s="132"/>
    </row>
    <row r="122" spans="1:33" ht="28.8">
      <c r="A122" s="134" t="s">
        <v>305</v>
      </c>
      <c r="B122" s="133"/>
      <c r="C122" s="133"/>
      <c r="D122" s="133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2"/>
      <c r="AF122" s="132"/>
      <c r="AG122" s="132"/>
    </row>
    <row r="123" spans="1:33">
      <c r="A123" s="114" t="s">
        <v>304</v>
      </c>
      <c r="B123" s="133">
        <v>-270.99099999999999</v>
      </c>
      <c r="C123" s="133">
        <v>-712.53300000000002</v>
      </c>
      <c r="D123" s="133">
        <v>784.928</v>
      </c>
      <c r="E123" s="132">
        <v>-589.52099999999996</v>
      </c>
      <c r="F123" s="132">
        <v>-285.81299999999999</v>
      </c>
      <c r="G123" s="132">
        <v>-1912.674</v>
      </c>
      <c r="H123" s="132">
        <v>-2833.2280000000001</v>
      </c>
      <c r="I123" s="132">
        <v>2384.8919999999998</v>
      </c>
      <c r="J123" s="132">
        <v>-1536.98</v>
      </c>
      <c r="K123" s="132">
        <v>559.423</v>
      </c>
      <c r="L123" s="132">
        <v>-7160.7610000000004</v>
      </c>
      <c r="M123" s="132">
        <v>-16188.316000000001</v>
      </c>
      <c r="N123" s="132">
        <f>-21445-4500</f>
        <v>-25945</v>
      </c>
      <c r="O123" s="132">
        <f>-25879-874</f>
        <v>-26753</v>
      </c>
      <c r="P123" s="132">
        <f>30609-85348</f>
        <v>-54739</v>
      </c>
      <c r="Q123" s="132">
        <f>-77562+86023</f>
        <v>8461</v>
      </c>
      <c r="R123" s="132">
        <f>-12669+4286</f>
        <v>-8383</v>
      </c>
      <c r="S123" s="132">
        <f>-56752-256</f>
        <v>-57008</v>
      </c>
      <c r="T123" s="132">
        <f>-17782+3</f>
        <v>-17779</v>
      </c>
      <c r="U123" s="132">
        <f>-42901-7382</f>
        <v>-50283</v>
      </c>
      <c r="V123" s="132">
        <f>-14290+4580</f>
        <v>-9710</v>
      </c>
      <c r="W123" s="132">
        <f>-77331+600</f>
        <v>-76731</v>
      </c>
      <c r="X123" s="132">
        <f>-86382-19981</f>
        <v>-106363</v>
      </c>
      <c r="Y123" s="132">
        <f>11822+125000+4716</f>
        <v>141538</v>
      </c>
      <c r="Z123" s="132">
        <f>-48370+9958</f>
        <v>-38412</v>
      </c>
      <c r="AA123" s="132">
        <v>-59941</v>
      </c>
      <c r="AB123" s="132">
        <v>-119672</v>
      </c>
      <c r="AC123" s="132">
        <v>-254228</v>
      </c>
      <c r="AD123" s="132">
        <v>-128981</v>
      </c>
      <c r="AE123" s="132">
        <v>-163158</v>
      </c>
      <c r="AF123" s="132">
        <v>-93915</v>
      </c>
      <c r="AG123" s="132">
        <v>-300600</v>
      </c>
    </row>
    <row r="124" spans="1:33">
      <c r="A124" s="114" t="s">
        <v>303</v>
      </c>
      <c r="B124" s="133">
        <v>-1480.828</v>
      </c>
      <c r="C124" s="133">
        <v>-430.27499999999998</v>
      </c>
      <c r="D124" s="133">
        <v>9.3949999999999996</v>
      </c>
      <c r="E124" s="132">
        <v>-804.85900000000004</v>
      </c>
      <c r="F124" s="132">
        <v>-1295.0940000000001</v>
      </c>
      <c r="G124" s="132">
        <v>-4683.3370000000004</v>
      </c>
      <c r="H124" s="132">
        <v>-1013.481</v>
      </c>
      <c r="I124" s="132">
        <v>-1048.7850000000001</v>
      </c>
      <c r="J124" s="132">
        <v>312.94600000000003</v>
      </c>
      <c r="K124" s="132">
        <v>-6000.0519999999997</v>
      </c>
      <c r="L124" s="132">
        <v>-4762.268</v>
      </c>
      <c r="M124" s="132">
        <v>-8993.5740000000005</v>
      </c>
      <c r="N124" s="132">
        <v>-45613</v>
      </c>
      <c r="O124" s="132">
        <v>-21127</v>
      </c>
      <c r="P124" s="132">
        <v>-19671</v>
      </c>
      <c r="Q124" s="132">
        <f>8545</f>
        <v>8545</v>
      </c>
      <c r="R124" s="132">
        <v>-44973</v>
      </c>
      <c r="S124" s="132">
        <v>-4465</v>
      </c>
      <c r="T124" s="132">
        <v>-47568</v>
      </c>
      <c r="U124" s="132">
        <v>-21552</v>
      </c>
      <c r="V124" s="132">
        <v>42763</v>
      </c>
      <c r="W124" s="132">
        <v>-7068</v>
      </c>
      <c r="X124" s="132">
        <v>20875</v>
      </c>
      <c r="Y124" s="132">
        <v>-88867</v>
      </c>
      <c r="Z124" s="132">
        <v>-26146</v>
      </c>
      <c r="AA124" s="132">
        <v>-85222</v>
      </c>
      <c r="AB124" s="132">
        <v>30304</v>
      </c>
      <c r="AC124" s="132">
        <v>-277793</v>
      </c>
      <c r="AD124" s="132">
        <v>-347712</v>
      </c>
      <c r="AE124" s="132">
        <v>7898</v>
      </c>
      <c r="AF124" s="132">
        <v>211503</v>
      </c>
      <c r="AG124" s="132">
        <v>-34918</v>
      </c>
    </row>
    <row r="125" spans="1:33">
      <c r="A125" s="114" t="s">
        <v>302</v>
      </c>
      <c r="B125" s="133">
        <v>-206.071</v>
      </c>
      <c r="C125" s="133">
        <v>-21.359000000000002</v>
      </c>
      <c r="D125" s="133">
        <v>155.63800000000001</v>
      </c>
      <c r="E125" s="132">
        <v>117.401</v>
      </c>
      <c r="F125" s="132">
        <v>-29.85</v>
      </c>
      <c r="G125" s="132">
        <v>-309.37099999999998</v>
      </c>
      <c r="H125" s="132">
        <v>-269.69799999999998</v>
      </c>
      <c r="I125" s="132">
        <v>-150.768</v>
      </c>
      <c r="J125" s="132">
        <v>-35.704000000000001</v>
      </c>
      <c r="K125" s="132">
        <v>500.71300000000002</v>
      </c>
      <c r="L125" s="132">
        <v>-157.19</v>
      </c>
      <c r="M125" s="132">
        <v>161.72999999999999</v>
      </c>
      <c r="N125" s="132">
        <v>-294</v>
      </c>
      <c r="O125" s="132">
        <v>-3049</v>
      </c>
      <c r="P125" s="132">
        <v>-4686</v>
      </c>
      <c r="Q125" s="132">
        <v>-2872</v>
      </c>
      <c r="R125" s="132">
        <v>-2774</v>
      </c>
      <c r="S125" s="132">
        <v>-6209</v>
      </c>
      <c r="T125" s="132">
        <v>-4523</v>
      </c>
      <c r="U125" s="132">
        <v>-4501</v>
      </c>
      <c r="V125" s="132">
        <v>888</v>
      </c>
      <c r="W125" s="132">
        <v>-9713</v>
      </c>
      <c r="X125" s="132">
        <v>-6682</v>
      </c>
      <c r="Y125" s="132">
        <v>-2396</v>
      </c>
      <c r="Z125" s="132">
        <v>-6682</v>
      </c>
      <c r="AA125" s="132">
        <v>-13774</v>
      </c>
      <c r="AB125" s="132">
        <v>1024</v>
      </c>
      <c r="AC125" s="132">
        <v>-29341</v>
      </c>
      <c r="AD125" s="132">
        <v>-38268</v>
      </c>
      <c r="AE125" s="132">
        <v>-10215</v>
      </c>
      <c r="AF125" s="132">
        <v>8959</v>
      </c>
      <c r="AG125" s="132">
        <v>-39307</v>
      </c>
    </row>
    <row r="126" spans="1:33">
      <c r="A126" s="114" t="s">
        <v>301</v>
      </c>
      <c r="B126" s="133"/>
      <c r="C126" s="133"/>
      <c r="D126" s="133"/>
      <c r="E126" s="132"/>
      <c r="F126" s="132"/>
      <c r="G126" s="132"/>
      <c r="H126" s="132"/>
      <c r="I126" s="132"/>
      <c r="J126" s="132"/>
      <c r="K126" s="132"/>
      <c r="L126" s="132"/>
      <c r="M126" s="132">
        <v>-637.79399999999998</v>
      </c>
      <c r="N126" s="132">
        <v>638</v>
      </c>
      <c r="O126" s="132">
        <v>0</v>
      </c>
      <c r="P126" s="132">
        <v>-4977</v>
      </c>
      <c r="Q126" s="132">
        <v>4977</v>
      </c>
      <c r="R126" s="132">
        <v>-9992</v>
      </c>
      <c r="S126" s="132">
        <f>9470</f>
        <v>9470</v>
      </c>
      <c r="T126" s="132">
        <v>-33210</v>
      </c>
      <c r="U126" s="132">
        <v>24008</v>
      </c>
      <c r="V126" s="132">
        <v>157</v>
      </c>
      <c r="W126" s="132">
        <v>5921</v>
      </c>
      <c r="X126" s="132">
        <v>-48023</v>
      </c>
      <c r="Y126" s="132">
        <v>-71332</v>
      </c>
      <c r="Z126" s="132">
        <v>98716</v>
      </c>
      <c r="AA126" s="132">
        <v>9481</v>
      </c>
      <c r="AB126" s="132">
        <v>5516</v>
      </c>
      <c r="AC126" s="132">
        <v>-10919</v>
      </c>
      <c r="AD126" s="132">
        <v>-4439</v>
      </c>
      <c r="AE126" s="132">
        <v>-18833</v>
      </c>
      <c r="AF126" s="132">
        <v>3062</v>
      </c>
      <c r="AG126" s="132">
        <v>-21094</v>
      </c>
    </row>
    <row r="127" spans="1:33">
      <c r="A127" s="114" t="s">
        <v>300</v>
      </c>
      <c r="B127" s="133">
        <v>1847.806</v>
      </c>
      <c r="C127" s="133">
        <v>13.971</v>
      </c>
      <c r="D127" s="133">
        <v>-1243.7149999999999</v>
      </c>
      <c r="E127" s="132">
        <v>56.15</v>
      </c>
      <c r="F127" s="132">
        <v>-324.947</v>
      </c>
      <c r="G127" s="132">
        <v>4066.62</v>
      </c>
      <c r="H127" s="132">
        <v>-2254.9169999999999</v>
      </c>
      <c r="I127" s="132">
        <v>24.957000000000001</v>
      </c>
      <c r="J127" s="132">
        <v>812.52</v>
      </c>
      <c r="K127" s="132">
        <v>1789.1410000000001</v>
      </c>
      <c r="L127" s="132">
        <v>8021.3509999999997</v>
      </c>
      <c r="M127" s="132">
        <v>12070.91</v>
      </c>
      <c r="N127" s="132">
        <v>7748</v>
      </c>
      <c r="O127" s="132">
        <v>22404</v>
      </c>
      <c r="P127" s="132">
        <v>7517</v>
      </c>
      <c r="Q127" s="132">
        <v>-2185</v>
      </c>
      <c r="R127" s="132">
        <v>33352</v>
      </c>
      <c r="S127" s="132">
        <v>26250</v>
      </c>
      <c r="T127" s="132">
        <v>3659</v>
      </c>
      <c r="U127" s="132">
        <v>-8204</v>
      </c>
      <c r="V127" s="132">
        <v>11282</v>
      </c>
      <c r="W127" s="132">
        <v>20864</v>
      </c>
      <c r="X127" s="132">
        <v>45340</v>
      </c>
      <c r="Y127" s="132">
        <v>29579</v>
      </c>
      <c r="Z127" s="132">
        <v>9852</v>
      </c>
      <c r="AA127" s="132">
        <v>28832</v>
      </c>
      <c r="AB127" s="132">
        <v>18696</v>
      </c>
      <c r="AC127" s="132">
        <v>114297</v>
      </c>
      <c r="AD127" s="132">
        <v>49765</v>
      </c>
      <c r="AE127" s="132">
        <v>112786</v>
      </c>
      <c r="AF127" s="132">
        <v>-61491</v>
      </c>
      <c r="AG127" s="132">
        <v>78460</v>
      </c>
    </row>
    <row r="128" spans="1:33">
      <c r="A128" s="114" t="s">
        <v>299</v>
      </c>
      <c r="B128" s="133">
        <v>-104.14400000000001</v>
      </c>
      <c r="C128" s="133">
        <v>-252.68799999999999</v>
      </c>
      <c r="D128" s="133">
        <v>44.643000000000001</v>
      </c>
      <c r="E128" s="132">
        <v>360.17700000000002</v>
      </c>
      <c r="F128" s="132">
        <v>-84.942999999999998</v>
      </c>
      <c r="G128" s="132">
        <v>-58.07</v>
      </c>
      <c r="H128" s="132">
        <v>261.649</v>
      </c>
      <c r="I128" s="132">
        <v>67.721000000000004</v>
      </c>
      <c r="J128" s="132">
        <v>-190.88200000000001</v>
      </c>
      <c r="K128" s="132">
        <v>504.38299999999998</v>
      </c>
      <c r="L128" s="132">
        <v>397.62599999999998</v>
      </c>
      <c r="M128" s="132">
        <v>898.73500000000001</v>
      </c>
      <c r="N128" s="132">
        <v>10307</v>
      </c>
      <c r="O128" s="132">
        <v>-3770</v>
      </c>
      <c r="P128" s="132">
        <v>3272</v>
      </c>
      <c r="Q128" s="132">
        <v>4172</v>
      </c>
      <c r="R128" s="132">
        <v>13174</v>
      </c>
      <c r="S128" s="132">
        <v>8144</v>
      </c>
      <c r="T128" s="132">
        <v>6458</v>
      </c>
      <c r="U128" s="132">
        <v>2265</v>
      </c>
      <c r="V128" s="132">
        <v>3019</v>
      </c>
      <c r="W128" s="132">
        <v>43312</v>
      </c>
      <c r="X128" s="132">
        <v>-2852</v>
      </c>
      <c r="Y128" s="132">
        <v>-4499</v>
      </c>
      <c r="Z128" s="132">
        <v>18145</v>
      </c>
      <c r="AA128" s="132">
        <v>-14297</v>
      </c>
      <c r="AB128" s="132">
        <v>26113</v>
      </c>
      <c r="AC128" s="132">
        <v>71586</v>
      </c>
      <c r="AD128" s="132">
        <v>-30419</v>
      </c>
      <c r="AE128" s="132">
        <v>-10393</v>
      </c>
      <c r="AF128" s="132">
        <v>18371</v>
      </c>
      <c r="AG128" s="132">
        <v>81341</v>
      </c>
    </row>
    <row r="129" spans="1:33">
      <c r="A129" s="114" t="s">
        <v>132</v>
      </c>
      <c r="B129" s="133"/>
      <c r="C129" s="133"/>
      <c r="D129" s="133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>
        <v>9712</v>
      </c>
      <c r="R129" s="132">
        <v>14702</v>
      </c>
      <c r="S129" s="132">
        <v>28442</v>
      </c>
      <c r="T129" s="132">
        <v>2723</v>
      </c>
      <c r="U129" s="132">
        <v>8932</v>
      </c>
      <c r="V129" s="132">
        <v>20530</v>
      </c>
      <c r="W129" s="132">
        <v>7009</v>
      </c>
      <c r="X129" s="132">
        <v>-3939</v>
      </c>
      <c r="Y129" s="132">
        <v>21135</v>
      </c>
      <c r="Z129" s="132">
        <v>11719</v>
      </c>
      <c r="AA129" s="132">
        <v>21943</v>
      </c>
      <c r="AB129" s="132">
        <v>13762</v>
      </c>
      <c r="AC129" s="132">
        <v>31498</v>
      </c>
      <c r="AD129" s="132">
        <v>50821</v>
      </c>
      <c r="AE129" s="132">
        <v>8418</v>
      </c>
      <c r="AF129" s="132">
        <v>9736</v>
      </c>
      <c r="AG129" s="132">
        <v>98266</v>
      </c>
    </row>
    <row r="130" spans="1:33">
      <c r="A130" s="114" t="s">
        <v>171</v>
      </c>
      <c r="B130" s="133"/>
      <c r="C130" s="133"/>
      <c r="D130" s="133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>
        <v>7024</v>
      </c>
      <c r="O130" s="132">
        <v>-2712</v>
      </c>
      <c r="P130" s="132">
        <v>98082</v>
      </c>
      <c r="Q130" s="132">
        <v>-99332</v>
      </c>
      <c r="R130" s="132">
        <v>-2570</v>
      </c>
      <c r="S130" s="132">
        <v>-330</v>
      </c>
      <c r="T130" s="132">
        <v>794</v>
      </c>
      <c r="U130" s="132">
        <v>1552</v>
      </c>
      <c r="V130" s="132">
        <v>-2338</v>
      </c>
      <c r="W130" s="132">
        <v>11196</v>
      </c>
      <c r="X130" s="132">
        <v>-3328</v>
      </c>
      <c r="Y130" s="132">
        <v>-8172</v>
      </c>
      <c r="Z130" s="132">
        <v>-91</v>
      </c>
      <c r="AA130" s="132"/>
      <c r="AB130" s="132"/>
      <c r="AC130" s="132"/>
      <c r="AD130" s="132"/>
      <c r="AE130" s="132"/>
      <c r="AF130" s="132"/>
      <c r="AG130" s="132"/>
    </row>
    <row r="131" spans="1:33">
      <c r="A131" s="114" t="s">
        <v>134</v>
      </c>
      <c r="B131" s="133"/>
      <c r="C131" s="133"/>
      <c r="D131" s="133"/>
      <c r="E131" s="132">
        <v>250.142</v>
      </c>
      <c r="F131" s="132">
        <v>153.887</v>
      </c>
      <c r="G131" s="132">
        <v>-13.715999999999999</v>
      </c>
      <c r="H131" s="132">
        <v>-180.65600000000001</v>
      </c>
      <c r="I131" s="132">
        <v>151.267</v>
      </c>
      <c r="J131" s="132">
        <v>-122.83199999999999</v>
      </c>
      <c r="K131" s="132">
        <v>573.39499999999998</v>
      </c>
      <c r="L131" s="132">
        <v>948.16800000000001</v>
      </c>
      <c r="M131" s="132">
        <v>1514.616</v>
      </c>
      <c r="N131" s="132">
        <v>1032</v>
      </c>
      <c r="O131" s="132">
        <v>1449</v>
      </c>
      <c r="P131" s="132">
        <v>956</v>
      </c>
      <c r="Q131" s="132">
        <v>838</v>
      </c>
      <c r="R131" s="132">
        <v>-66</v>
      </c>
      <c r="S131" s="132">
        <v>2878</v>
      </c>
      <c r="T131" s="132">
        <v>2498</v>
      </c>
      <c r="U131" s="132">
        <v>1970</v>
      </c>
      <c r="V131" s="132">
        <v>3394</v>
      </c>
      <c r="W131" s="132">
        <v>4507</v>
      </c>
      <c r="X131" s="132">
        <v>8051</v>
      </c>
      <c r="Y131" s="132">
        <v>4491</v>
      </c>
      <c r="Z131" s="132">
        <v>5477</v>
      </c>
      <c r="AA131" s="132">
        <v>7228</v>
      </c>
      <c r="AB131" s="132">
        <v>7501</v>
      </c>
      <c r="AC131" s="132">
        <v>7950</v>
      </c>
      <c r="AD131" s="132">
        <v>3729</v>
      </c>
      <c r="AE131" s="132">
        <v>13398</v>
      </c>
      <c r="AF131" s="132">
        <v>5947</v>
      </c>
      <c r="AG131" s="132">
        <v>17801</v>
      </c>
    </row>
    <row r="132" spans="1:33">
      <c r="A132" s="114" t="s">
        <v>298</v>
      </c>
      <c r="B132" s="133"/>
      <c r="C132" s="133"/>
      <c r="D132" s="133"/>
      <c r="E132" s="132">
        <v>37.799999999999997</v>
      </c>
      <c r="F132" s="132">
        <v>1508.7840000000001</v>
      </c>
      <c r="G132" s="132">
        <v>-828.57100000000003</v>
      </c>
      <c r="H132" s="132">
        <v>603.23</v>
      </c>
      <c r="I132" s="132">
        <v>-878.26599999999996</v>
      </c>
      <c r="J132" s="132">
        <v>-617.82600000000002</v>
      </c>
      <c r="K132" s="132">
        <v>1292.4580000000001</v>
      </c>
      <c r="L132" s="132">
        <v>1114.105</v>
      </c>
      <c r="M132" s="132">
        <v>2647.4349999999999</v>
      </c>
      <c r="N132" s="132">
        <v>21087</v>
      </c>
      <c r="O132" s="132">
        <v>31757</v>
      </c>
      <c r="P132" s="132">
        <v>-1960</v>
      </c>
      <c r="Q132" s="132">
        <v>3892</v>
      </c>
      <c r="R132" s="132">
        <v>12505</v>
      </c>
      <c r="S132" s="132">
        <v>13918</v>
      </c>
      <c r="T132" s="132">
        <v>14165</v>
      </c>
      <c r="U132" s="132">
        <v>34308</v>
      </c>
      <c r="V132" s="132">
        <v>8438</v>
      </c>
      <c r="W132" s="132">
        <v>415446</v>
      </c>
      <c r="X132" s="132">
        <v>4375</v>
      </c>
      <c r="Y132" s="132">
        <v>-3590</v>
      </c>
      <c r="Z132" s="132">
        <v>1943</v>
      </c>
      <c r="AA132" s="132">
        <v>8105</v>
      </c>
      <c r="AB132" s="132">
        <v>10422</v>
      </c>
      <c r="AC132" s="132">
        <v>7221</v>
      </c>
      <c r="AD132" s="132">
        <v>-16860</v>
      </c>
      <c r="AE132" s="132">
        <v>1748</v>
      </c>
      <c r="AF132" s="132">
        <v>9438</v>
      </c>
      <c r="AG132" s="132">
        <v>27779</v>
      </c>
    </row>
    <row r="133" spans="1:33">
      <c r="A133" s="114" t="s">
        <v>297</v>
      </c>
      <c r="B133" s="133"/>
      <c r="C133" s="133"/>
      <c r="D133" s="133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>
        <v>1095</v>
      </c>
      <c r="Z133" s="132">
        <v>1526</v>
      </c>
      <c r="AA133" s="132">
        <v>-1030</v>
      </c>
      <c r="AB133" s="132">
        <v>-356</v>
      </c>
      <c r="AC133" s="132">
        <v>492</v>
      </c>
      <c r="AD133" s="132">
        <v>-4540</v>
      </c>
      <c r="AE133" s="132">
        <v>22951</v>
      </c>
      <c r="AF133" s="132">
        <v>13390</v>
      </c>
      <c r="AG133" s="132">
        <v>-4935</v>
      </c>
    </row>
    <row r="134" spans="1:33">
      <c r="A134" s="114" t="s">
        <v>133</v>
      </c>
      <c r="B134" s="133"/>
      <c r="C134" s="133"/>
      <c r="D134" s="133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>
        <v>20441</v>
      </c>
      <c r="O134" s="132">
        <v>19114</v>
      </c>
      <c r="P134" s="132">
        <v>98632</v>
      </c>
      <c r="Q134" s="132">
        <v>-6799</v>
      </c>
      <c r="R134" s="132">
        <v>-5474</v>
      </c>
      <c r="S134" s="132">
        <v>-6283</v>
      </c>
      <c r="T134" s="132">
        <v>-5659</v>
      </c>
      <c r="U134" s="132">
        <v>2982</v>
      </c>
      <c r="V134" s="132">
        <v>-8107</v>
      </c>
      <c r="W134" s="132">
        <v>-38631</v>
      </c>
      <c r="X134" s="132">
        <v>13819</v>
      </c>
      <c r="Y134" s="132">
        <v>-19872</v>
      </c>
      <c r="Z134" s="132">
        <v>-19967</v>
      </c>
      <c r="AA134" s="132">
        <v>-24858</v>
      </c>
      <c r="AB134" s="132">
        <v>-21480</v>
      </c>
      <c r="AC134" s="132">
        <v>-22658</v>
      </c>
      <c r="AD134" s="132">
        <v>-19905</v>
      </c>
      <c r="AE134" s="132">
        <v>-24472</v>
      </c>
      <c r="AF134" s="132">
        <v>-17360</v>
      </c>
      <c r="AG134" s="132">
        <v>-23005</v>
      </c>
    </row>
    <row r="135" spans="1:33">
      <c r="A135" s="127" t="s">
        <v>296</v>
      </c>
      <c r="B135" s="126">
        <f t="shared" ref="B135:AG135" si="31">B132+B128+B127+B125+B124+B123+B119+B111+B107+B106+B105+B109+B131+B108+B121+B126+B120+B118+B130+B134+B113+B112+B129+B110+B133+B114+B115+B116+B117</f>
        <v>-946.32999999999981</v>
      </c>
      <c r="C135" s="126">
        <f t="shared" si="31"/>
        <v>-2009.9869999999999</v>
      </c>
      <c r="D135" s="126">
        <f t="shared" si="31"/>
        <v>753.84500000000003</v>
      </c>
      <c r="E135" s="126">
        <f t="shared" si="31"/>
        <v>1318.537</v>
      </c>
      <c r="F135" s="126">
        <f t="shared" si="31"/>
        <v>4370.9279999999999</v>
      </c>
      <c r="G135" s="126">
        <f t="shared" si="31"/>
        <v>1317.9569999999994</v>
      </c>
      <c r="H135" s="126">
        <f t="shared" si="31"/>
        <v>-1122.8399999999992</v>
      </c>
      <c r="I135" s="126">
        <f t="shared" si="31"/>
        <v>5202.7060000000001</v>
      </c>
      <c r="J135" s="126">
        <f t="shared" si="31"/>
        <v>2726.6690000000003</v>
      </c>
      <c r="K135" s="126">
        <f t="shared" si="31"/>
        <v>5484.4140000000016</v>
      </c>
      <c r="L135" s="126">
        <f t="shared" si="31"/>
        <v>20050.517</v>
      </c>
      <c r="M135" s="126">
        <f t="shared" si="31"/>
        <v>54649.436000000002</v>
      </c>
      <c r="N135" s="126">
        <f t="shared" si="31"/>
        <v>76414</v>
      </c>
      <c r="O135" s="126">
        <f t="shared" si="31"/>
        <v>135451</v>
      </c>
      <c r="P135" s="126">
        <f t="shared" si="31"/>
        <v>199496</v>
      </c>
      <c r="Q135" s="126">
        <f t="shared" si="31"/>
        <v>156192</v>
      </c>
      <c r="R135" s="126">
        <f t="shared" si="31"/>
        <v>229044</v>
      </c>
      <c r="S135" s="126">
        <f t="shared" si="31"/>
        <v>333827</v>
      </c>
      <c r="T135" s="126">
        <f t="shared" si="31"/>
        <v>287677</v>
      </c>
      <c r="U135" s="126">
        <f t="shared" si="31"/>
        <v>342033</v>
      </c>
      <c r="V135" s="126">
        <f t="shared" si="31"/>
        <v>585567</v>
      </c>
      <c r="W135" s="126">
        <f t="shared" si="31"/>
        <v>207986</v>
      </c>
      <c r="X135" s="126">
        <f t="shared" si="31"/>
        <v>701355</v>
      </c>
      <c r="Y135" s="126">
        <f t="shared" si="31"/>
        <v>987731</v>
      </c>
      <c r="Z135" s="126">
        <f t="shared" si="31"/>
        <v>1161881</v>
      </c>
      <c r="AA135" s="126">
        <f t="shared" si="31"/>
        <v>1113483</v>
      </c>
      <c r="AB135" s="126">
        <f t="shared" si="31"/>
        <v>1364163</v>
      </c>
      <c r="AC135" s="126">
        <f t="shared" si="31"/>
        <v>1155741</v>
      </c>
      <c r="AD135" s="126">
        <f t="shared" si="31"/>
        <v>887699</v>
      </c>
      <c r="AE135" s="126">
        <f t="shared" si="31"/>
        <v>1717753</v>
      </c>
      <c r="AF135" s="126">
        <f t="shared" si="31"/>
        <v>1928533</v>
      </c>
      <c r="AG135" s="126">
        <f t="shared" si="31"/>
        <v>2098177</v>
      </c>
    </row>
    <row r="136" spans="1:33">
      <c r="A136" s="125"/>
      <c r="B136" s="123"/>
      <c r="C136" s="123"/>
      <c r="D136" s="123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</row>
    <row r="137" spans="1:33">
      <c r="A137" s="114" t="s">
        <v>295</v>
      </c>
      <c r="B137" s="122"/>
      <c r="C137" s="122"/>
      <c r="D137" s="122"/>
      <c r="E137" s="121"/>
      <c r="F137" s="121"/>
      <c r="G137" s="121"/>
      <c r="H137" s="121"/>
      <c r="I137" s="121"/>
      <c r="J137" s="121"/>
      <c r="K137" s="121"/>
      <c r="L137" s="121">
        <v>6300</v>
      </c>
      <c r="M137" s="121">
        <v>23600</v>
      </c>
      <c r="N137" s="121">
        <v>132719</v>
      </c>
      <c r="O137" s="121">
        <v>169529</v>
      </c>
      <c r="P137" s="121">
        <v>283241</v>
      </c>
      <c r="Q137" s="121">
        <v>17254</v>
      </c>
      <c r="R137" s="121">
        <v>13201</v>
      </c>
      <c r="S137" s="121">
        <v>30545</v>
      </c>
      <c r="T137" s="121"/>
      <c r="U137" s="121"/>
      <c r="V137" s="121"/>
      <c r="W137" s="121">
        <v>2089788</v>
      </c>
      <c r="X137" s="121">
        <v>868304</v>
      </c>
      <c r="Y137" s="121"/>
      <c r="Z137" s="121"/>
      <c r="AA137" s="121">
        <v>851436</v>
      </c>
      <c r="AB137" s="121">
        <v>920196</v>
      </c>
      <c r="AC137" s="121">
        <v>1488599</v>
      </c>
      <c r="AD137" s="121">
        <v>2252355</v>
      </c>
      <c r="AE137" s="121">
        <v>2029737</v>
      </c>
      <c r="AF137" s="121">
        <v>1377915</v>
      </c>
      <c r="AG137" s="121">
        <v>105794</v>
      </c>
    </row>
    <row r="138" spans="1:33">
      <c r="A138" s="131" t="s">
        <v>294</v>
      </c>
      <c r="B138" s="122"/>
      <c r="C138" s="122"/>
      <c r="D138" s="122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>
        <v>68451</v>
      </c>
      <c r="U138" s="121">
        <v>5793</v>
      </c>
      <c r="V138" s="121">
        <v>0</v>
      </c>
      <c r="W138" s="121">
        <v>4001</v>
      </c>
      <c r="X138" s="121">
        <v>120987</v>
      </c>
      <c r="Y138" s="121">
        <v>533183</v>
      </c>
      <c r="Z138" s="121">
        <v>1181484</v>
      </c>
      <c r="AA138" s="121"/>
      <c r="AB138" s="121"/>
      <c r="AC138" s="121"/>
      <c r="AD138" s="121"/>
      <c r="AE138" s="121"/>
      <c r="AF138" s="121"/>
      <c r="AG138" s="121"/>
    </row>
    <row r="139" spans="1:33">
      <c r="A139" s="114" t="s">
        <v>293</v>
      </c>
      <c r="B139" s="122"/>
      <c r="C139" s="122"/>
      <c r="D139" s="122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>
        <v>7400</v>
      </c>
      <c r="S139" s="121">
        <v>34715</v>
      </c>
      <c r="T139" s="121">
        <v>17050</v>
      </c>
      <c r="U139" s="121">
        <v>2250</v>
      </c>
      <c r="V139" s="121">
        <v>13075</v>
      </c>
      <c r="W139" s="121">
        <v>4160</v>
      </c>
      <c r="X139" s="121">
        <v>0</v>
      </c>
      <c r="Y139" s="121">
        <v>0</v>
      </c>
      <c r="Z139" s="121"/>
      <c r="AA139" s="121"/>
      <c r="AB139" s="121"/>
      <c r="AC139" s="121"/>
      <c r="AD139" s="121"/>
      <c r="AE139" s="121"/>
      <c r="AF139" s="121"/>
      <c r="AG139" s="121"/>
    </row>
    <row r="140" spans="1:33" ht="28.8">
      <c r="A140" s="131" t="s">
        <v>292</v>
      </c>
      <c r="B140" s="122"/>
      <c r="C140" s="122"/>
      <c r="D140" s="122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>
        <v>179658</v>
      </c>
      <c r="X140" s="121">
        <v>0</v>
      </c>
      <c r="Y140" s="121">
        <v>0</v>
      </c>
      <c r="Z140" s="121"/>
      <c r="AA140" s="121"/>
      <c r="AB140" s="121"/>
      <c r="AC140" s="121"/>
      <c r="AD140" s="121"/>
      <c r="AE140" s="121"/>
      <c r="AF140" s="121"/>
      <c r="AG140" s="121"/>
    </row>
    <row r="141" spans="1:33">
      <c r="A141" s="114" t="s">
        <v>291</v>
      </c>
      <c r="B141" s="122"/>
      <c r="C141" s="122"/>
      <c r="D141" s="122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>
        <v>198008</v>
      </c>
      <c r="X141" s="121">
        <v>0</v>
      </c>
      <c r="Y141" s="121">
        <v>0</v>
      </c>
      <c r="Z141" s="121"/>
      <c r="AA141" s="121"/>
      <c r="AB141" s="121"/>
      <c r="AC141" s="121"/>
      <c r="AD141" s="121"/>
      <c r="AE141" s="121"/>
      <c r="AF141" s="121"/>
      <c r="AG141" s="121"/>
    </row>
    <row r="142" spans="1:33">
      <c r="A142" s="114" t="s">
        <v>290</v>
      </c>
      <c r="B142" s="122"/>
      <c r="C142" s="122"/>
      <c r="D142" s="122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>
        <v>-688485</v>
      </c>
      <c r="Y142" s="121"/>
      <c r="Z142" s="121"/>
      <c r="AA142" s="121"/>
      <c r="AB142" s="121"/>
      <c r="AC142" s="121"/>
      <c r="AD142" s="121"/>
      <c r="AE142" s="121"/>
      <c r="AF142" s="121"/>
      <c r="AG142" s="121"/>
    </row>
    <row r="143" spans="1:33">
      <c r="A143" s="114" t="s">
        <v>289</v>
      </c>
      <c r="B143" s="122">
        <v>39.441000000000003</v>
      </c>
      <c r="C143" s="122">
        <v>103.494</v>
      </c>
      <c r="D143" s="122">
        <v>61.893000000000001</v>
      </c>
      <c r="E143" s="121">
        <v>37.945</v>
      </c>
      <c r="F143" s="121"/>
      <c r="G143" s="121">
        <v>81.962999999999994</v>
      </c>
      <c r="H143" s="121">
        <v>12.433</v>
      </c>
      <c r="I143" s="121">
        <v>26.416</v>
      </c>
      <c r="J143" s="121"/>
      <c r="K143" s="121">
        <v>70.825999999999993</v>
      </c>
      <c r="L143" s="121">
        <v>24.698</v>
      </c>
      <c r="M143" s="121">
        <v>178.571</v>
      </c>
      <c r="N143" s="121">
        <v>354</v>
      </c>
      <c r="O143" s="121">
        <v>261</v>
      </c>
      <c r="P143" s="121">
        <v>159</v>
      </c>
      <c r="Q143" s="121">
        <v>877</v>
      </c>
      <c r="R143" s="121">
        <v>115</v>
      </c>
      <c r="S143" s="121">
        <v>519</v>
      </c>
      <c r="T143" s="121">
        <v>288</v>
      </c>
      <c r="U143" s="121">
        <v>9022</v>
      </c>
      <c r="V143" s="121">
        <v>963</v>
      </c>
      <c r="W143" s="121">
        <v>926</v>
      </c>
      <c r="X143" s="121">
        <v>807</v>
      </c>
      <c r="Y143" s="121">
        <v>1416</v>
      </c>
      <c r="Z143" s="121">
        <v>4295</v>
      </c>
      <c r="AA143" s="121">
        <v>1239</v>
      </c>
      <c r="AB143" s="121">
        <v>993</v>
      </c>
      <c r="AC143" s="121">
        <v>1328</v>
      </c>
      <c r="AD143" s="121">
        <v>1313</v>
      </c>
      <c r="AE143" s="121">
        <v>2520</v>
      </c>
      <c r="AF143" s="121">
        <v>2732</v>
      </c>
      <c r="AG143" s="121">
        <v>4299</v>
      </c>
    </row>
    <row r="144" spans="1:33">
      <c r="A144" s="114" t="s">
        <v>288</v>
      </c>
      <c r="B144" s="122"/>
      <c r="C144" s="122"/>
      <c r="D144" s="122"/>
      <c r="E144" s="121"/>
      <c r="F144" s="121"/>
      <c r="G144" s="121"/>
      <c r="H144" s="121"/>
      <c r="I144" s="121"/>
      <c r="J144" s="121"/>
      <c r="K144" s="121"/>
      <c r="L144" s="121"/>
      <c r="M144" s="121">
        <v>-9642.5650000000005</v>
      </c>
      <c r="N144" s="121">
        <v>-24857</v>
      </c>
      <c r="O144" s="121">
        <v>0</v>
      </c>
      <c r="P144" s="121">
        <v>-24938</v>
      </c>
      <c r="Q144" s="121">
        <v>-74976</v>
      </c>
      <c r="R144" s="121">
        <v>-257474</v>
      </c>
      <c r="S144" s="121">
        <v>-583138</v>
      </c>
      <c r="T144" s="121">
        <v>-597155</v>
      </c>
      <c r="U144" s="121">
        <v>-557419</v>
      </c>
      <c r="V144" s="121">
        <v>-1130601</v>
      </c>
      <c r="W144" s="121">
        <v>-2033584</v>
      </c>
      <c r="X144" s="121">
        <v>-152050</v>
      </c>
      <c r="Y144" s="121">
        <v>0</v>
      </c>
      <c r="Z144" s="121"/>
      <c r="AA144" s="121">
        <v>-1067736</v>
      </c>
      <c r="AB144" s="121">
        <v>-1299981</v>
      </c>
      <c r="AC144" s="121">
        <v>-2413143</v>
      </c>
      <c r="AD144" s="121">
        <v>-1847067</v>
      </c>
      <c r="AE144" s="121">
        <v>-1620718</v>
      </c>
      <c r="AF144" s="121">
        <v>-342121</v>
      </c>
      <c r="AG144" s="121">
        <v>-1268944</v>
      </c>
    </row>
    <row r="145" spans="1:33">
      <c r="A145" s="131" t="s">
        <v>287</v>
      </c>
      <c r="B145" s="122"/>
      <c r="C145" s="122"/>
      <c r="D145" s="122"/>
      <c r="E145" s="121"/>
      <c r="F145" s="121"/>
      <c r="G145" s="121"/>
      <c r="H145" s="121"/>
      <c r="I145" s="121"/>
      <c r="J145" s="121"/>
      <c r="K145" s="121"/>
      <c r="L145" s="121"/>
      <c r="M145" s="121">
        <v>4481.8999999999996</v>
      </c>
      <c r="N145" s="121">
        <v>26489</v>
      </c>
      <c r="O145" s="121">
        <v>3528</v>
      </c>
      <c r="P145" s="121">
        <v>4997</v>
      </c>
      <c r="Q145" s="121">
        <v>79919</v>
      </c>
      <c r="R145" s="121">
        <v>107992</v>
      </c>
      <c r="S145" s="121">
        <v>407918</v>
      </c>
      <c r="T145" s="121">
        <v>841576</v>
      </c>
      <c r="U145" s="121">
        <v>256843</v>
      </c>
      <c r="V145" s="121">
        <v>710294</v>
      </c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</row>
    <row r="146" spans="1:33">
      <c r="A146" s="114" t="s">
        <v>286</v>
      </c>
      <c r="B146" s="122"/>
      <c r="C146" s="122"/>
      <c r="D146" s="122"/>
      <c r="E146" s="121"/>
      <c r="F146" s="121"/>
      <c r="G146" s="121"/>
      <c r="H146" s="121"/>
      <c r="I146" s="121"/>
      <c r="J146" s="121"/>
      <c r="K146" s="121"/>
      <c r="L146" s="121">
        <v>-23600</v>
      </c>
      <c r="M146" s="121">
        <v>-13000</v>
      </c>
      <c r="N146" s="121">
        <v>-224157</v>
      </c>
      <c r="O146" s="121">
        <v>-361600</v>
      </c>
      <c r="P146" s="121">
        <v>-106685</v>
      </c>
      <c r="Q146" s="121"/>
      <c r="R146" s="121">
        <v>-59907</v>
      </c>
      <c r="S146" s="121">
        <v>-33312</v>
      </c>
      <c r="T146" s="121">
        <v>-9502</v>
      </c>
      <c r="U146" s="121">
        <v>0</v>
      </c>
      <c r="V146" s="121">
        <v>-4001</v>
      </c>
      <c r="W146" s="121"/>
      <c r="X146" s="121">
        <v>-300426</v>
      </c>
      <c r="Y146" s="121">
        <v>-971813</v>
      </c>
      <c r="Z146" s="121">
        <v>-826084</v>
      </c>
      <c r="AA146" s="121"/>
      <c r="AB146" s="121"/>
      <c r="AC146" s="121"/>
      <c r="AD146" s="121"/>
      <c r="AE146" s="121"/>
      <c r="AF146" s="121"/>
      <c r="AG146" s="121"/>
    </row>
    <row r="147" spans="1:33">
      <c r="A147" s="114" t="s">
        <v>285</v>
      </c>
      <c r="B147" s="122"/>
      <c r="C147" s="122"/>
      <c r="D147" s="122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>
        <v>-363385</v>
      </c>
      <c r="AF147" s="121"/>
      <c r="AG147" s="121"/>
    </row>
    <row r="148" spans="1:33">
      <c r="A148" s="114" t="s">
        <v>284</v>
      </c>
      <c r="B148" s="122"/>
      <c r="C148" s="122"/>
      <c r="D148" s="122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>
        <v>-329472</v>
      </c>
      <c r="AE148" s="121"/>
      <c r="AF148" s="121"/>
      <c r="AG148" s="121"/>
    </row>
    <row r="149" spans="1:33">
      <c r="A149" s="114" t="s">
        <v>283</v>
      </c>
      <c r="B149" s="122">
        <v>-613.86599999999999</v>
      </c>
      <c r="C149" s="122">
        <v>-396.53800000000001</v>
      </c>
      <c r="D149" s="122">
        <v>-97.65</v>
      </c>
      <c r="E149" s="121">
        <v>-186.57</v>
      </c>
      <c r="F149" s="121">
        <v>-435.83800000000002</v>
      </c>
      <c r="G149" s="121">
        <v>-258.54300000000001</v>
      </c>
      <c r="H149" s="121">
        <v>-1191.7619999999999</v>
      </c>
      <c r="I149" s="121">
        <v>-529.90499999999997</v>
      </c>
      <c r="J149" s="121">
        <v>-416.87299999999999</v>
      </c>
      <c r="K149" s="121">
        <v>-1627.49</v>
      </c>
      <c r="L149" s="121">
        <v>-1260.068</v>
      </c>
      <c r="M149" s="121">
        <v>-1519.76</v>
      </c>
      <c r="N149" s="121">
        <v>-2746</v>
      </c>
      <c r="O149" s="121">
        <v>-4108</v>
      </c>
      <c r="P149" s="121">
        <v>-6718</v>
      </c>
      <c r="Q149" s="121">
        <v>-23554</v>
      </c>
      <c r="R149" s="121">
        <v>-12545</v>
      </c>
      <c r="S149" s="121">
        <v>-25552</v>
      </c>
      <c r="T149" s="121">
        <v>-42935</v>
      </c>
      <c r="U149" s="121">
        <v>-40762</v>
      </c>
      <c r="V149" s="121">
        <v>-27952</v>
      </c>
      <c r="W149" s="121">
        <v>-35605</v>
      </c>
      <c r="X149" s="121">
        <v>-99819</v>
      </c>
      <c r="Y149" s="121">
        <v>-83435</v>
      </c>
      <c r="Z149" s="121">
        <v>-61941</v>
      </c>
      <c r="AA149" s="121">
        <v>-101661</v>
      </c>
      <c r="AB149" s="121">
        <v>-48722</v>
      </c>
      <c r="AC149" s="121">
        <v>-43868</v>
      </c>
      <c r="AD149" s="121">
        <v>-188726</v>
      </c>
      <c r="AE149" s="121">
        <v>-221428</v>
      </c>
      <c r="AF149" s="121">
        <v>-264074</v>
      </c>
      <c r="AG149" s="121">
        <v>-132275</v>
      </c>
    </row>
    <row r="150" spans="1:33">
      <c r="A150" s="114" t="s">
        <v>282</v>
      </c>
      <c r="B150" s="122">
        <v>-78.69</v>
      </c>
      <c r="C150" s="122">
        <v>-96.638999999999996</v>
      </c>
      <c r="D150" s="122">
        <v>-61.847000000000001</v>
      </c>
      <c r="E150" s="121">
        <v>-50.209000000000003</v>
      </c>
      <c r="F150" s="121">
        <v>-91.885000000000005</v>
      </c>
      <c r="G150" s="121">
        <v>-1072.9000000000001</v>
      </c>
      <c r="H150" s="121">
        <v>-6490.4939999999997</v>
      </c>
      <c r="I150" s="121">
        <v>-118.651</v>
      </c>
      <c r="J150" s="121">
        <v>-64.792000000000002</v>
      </c>
      <c r="K150" s="121">
        <v>-995.13699999999994</v>
      </c>
      <c r="L150" s="121">
        <v>-131.14599999999999</v>
      </c>
      <c r="M150" s="121">
        <v>-821.34699999999998</v>
      </c>
      <c r="N150" s="121">
        <v>-2155</v>
      </c>
      <c r="O150" s="121">
        <v>-2920</v>
      </c>
      <c r="P150" s="121">
        <v>-4354</v>
      </c>
      <c r="Q150" s="121">
        <v>-5215</v>
      </c>
      <c r="R150" s="121">
        <v>-9852</v>
      </c>
      <c r="S150" s="121">
        <v>-5132</v>
      </c>
      <c r="T150" s="121">
        <v>-6301</v>
      </c>
      <c r="U150" s="121">
        <v>-11175</v>
      </c>
      <c r="V150" s="121">
        <v>-3411</v>
      </c>
      <c r="W150" s="121">
        <v>-6888</v>
      </c>
      <c r="X150" s="121">
        <v>-5518</v>
      </c>
      <c r="Y150" s="121">
        <v>-9693</v>
      </c>
      <c r="Z150" s="121">
        <v>-12984</v>
      </c>
      <c r="AA150" s="121">
        <v>-8737</v>
      </c>
      <c r="AB150" s="121">
        <v>-18550</v>
      </c>
      <c r="AC150" s="121">
        <v>-13585</v>
      </c>
      <c r="AD150" s="121">
        <v>-23427</v>
      </c>
      <c r="AE150" s="121">
        <v>-13296</v>
      </c>
      <c r="AF150" s="121">
        <v>-42360</v>
      </c>
      <c r="AG150" s="121">
        <v>-25254</v>
      </c>
    </row>
    <row r="151" spans="1:33">
      <c r="A151" s="131" t="s">
        <v>281</v>
      </c>
      <c r="B151" s="122">
        <v>-5.9939999999999998</v>
      </c>
      <c r="C151" s="122">
        <v>25.271000000000001</v>
      </c>
      <c r="D151" s="122">
        <v>3.73</v>
      </c>
      <c r="E151" s="121">
        <v>1.9179999999999999</v>
      </c>
      <c r="F151" s="121">
        <v>39.390999999999998</v>
      </c>
      <c r="G151" s="121">
        <v>20.861000000000001</v>
      </c>
      <c r="H151" s="121"/>
      <c r="I151" s="121"/>
      <c r="J151" s="121"/>
      <c r="K151" s="121"/>
      <c r="L151" s="121"/>
      <c r="M151" s="121"/>
      <c r="N151" s="121">
        <v>-878</v>
      </c>
      <c r="O151" s="121">
        <v>583</v>
      </c>
      <c r="P151" s="121">
        <v>-1720</v>
      </c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</row>
    <row r="152" spans="1:33">
      <c r="A152" s="131" t="s">
        <v>280</v>
      </c>
      <c r="B152" s="122">
        <v>-306.42599999999999</v>
      </c>
      <c r="C152" s="122">
        <v>-8.3550000000000004</v>
      </c>
      <c r="D152" s="122">
        <v>40.15</v>
      </c>
      <c r="E152" s="121">
        <v>218.27099999999999</v>
      </c>
      <c r="F152" s="121">
        <v>-26.821000000000002</v>
      </c>
      <c r="G152" s="121">
        <v>-272.48500000000001</v>
      </c>
      <c r="H152" s="121">
        <v>-181.34299999999999</v>
      </c>
      <c r="I152" s="121">
        <v>-60.094000000000001</v>
      </c>
      <c r="J152" s="121">
        <v>389.45600000000002</v>
      </c>
      <c r="K152" s="121">
        <v>114.267</v>
      </c>
      <c r="L152" s="121">
        <v>-104.21</v>
      </c>
      <c r="M152" s="121">
        <v>-60.869</v>
      </c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</row>
    <row r="153" spans="1:33">
      <c r="A153" s="131" t="s">
        <v>279</v>
      </c>
      <c r="B153" s="122"/>
      <c r="C153" s="122"/>
      <c r="D153" s="122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>
        <v>1226</v>
      </c>
      <c r="R153" s="121">
        <v>-1440</v>
      </c>
      <c r="S153" s="121">
        <v>410</v>
      </c>
      <c r="T153" s="121">
        <v>377</v>
      </c>
      <c r="U153" s="121">
        <v>-4360</v>
      </c>
      <c r="V153" s="121">
        <v>1230</v>
      </c>
      <c r="W153" s="121">
        <v>-398</v>
      </c>
      <c r="X153" s="121">
        <v>7</v>
      </c>
      <c r="Y153" s="121">
        <v>-1199</v>
      </c>
      <c r="Z153" s="121">
        <v>-11814</v>
      </c>
      <c r="AA153" s="121">
        <v>-1265</v>
      </c>
      <c r="AB153" s="121">
        <v>-26423</v>
      </c>
      <c r="AC153" s="121">
        <v>-11353</v>
      </c>
      <c r="AD153" s="121">
        <v>-26343</v>
      </c>
      <c r="AE153" s="121">
        <v>-6825</v>
      </c>
      <c r="AF153" s="121">
        <v>1635</v>
      </c>
      <c r="AG153" s="121">
        <v>-398</v>
      </c>
    </row>
    <row r="154" spans="1:33">
      <c r="A154" s="127" t="s">
        <v>278</v>
      </c>
      <c r="B154" s="126">
        <f t="shared" ref="B154:AC154" si="32">B150+B143+B149+B137+B144+B151+B152+B145+B146+B153+B139+B138+B140+B141+B142</f>
        <v>-965.53500000000008</v>
      </c>
      <c r="C154" s="126">
        <f t="shared" si="32"/>
        <v>-372.767</v>
      </c>
      <c r="D154" s="126">
        <f t="shared" si="32"/>
        <v>-53.724000000000011</v>
      </c>
      <c r="E154" s="126">
        <f t="shared" si="32"/>
        <v>21.35499999999999</v>
      </c>
      <c r="F154" s="126">
        <f t="shared" si="32"/>
        <v>-515.15300000000002</v>
      </c>
      <c r="G154" s="126">
        <f t="shared" si="32"/>
        <v>-1501.1039999999998</v>
      </c>
      <c r="H154" s="126">
        <f t="shared" si="32"/>
        <v>-7851.1659999999993</v>
      </c>
      <c r="I154" s="126">
        <f t="shared" si="32"/>
        <v>-682.23400000000004</v>
      </c>
      <c r="J154" s="126">
        <f t="shared" si="32"/>
        <v>-92.208999999999946</v>
      </c>
      <c r="K154" s="126">
        <f t="shared" si="32"/>
        <v>-2437.5340000000001</v>
      </c>
      <c r="L154" s="126">
        <f t="shared" si="32"/>
        <v>-18770.725999999999</v>
      </c>
      <c r="M154" s="126">
        <f t="shared" si="32"/>
        <v>3215.9299999999985</v>
      </c>
      <c r="N154" s="126">
        <f t="shared" si="32"/>
        <v>-95231</v>
      </c>
      <c r="O154" s="126">
        <f t="shared" si="32"/>
        <v>-194727</v>
      </c>
      <c r="P154" s="126">
        <f t="shared" si="32"/>
        <v>143982</v>
      </c>
      <c r="Q154" s="126">
        <f t="shared" si="32"/>
        <v>-4469</v>
      </c>
      <c r="R154" s="126">
        <f t="shared" si="32"/>
        <v>-212510</v>
      </c>
      <c r="S154" s="126">
        <f t="shared" si="32"/>
        <v>-173027</v>
      </c>
      <c r="T154" s="126">
        <f t="shared" si="32"/>
        <v>271849</v>
      </c>
      <c r="U154" s="126">
        <f t="shared" si="32"/>
        <v>-339808</v>
      </c>
      <c r="V154" s="126">
        <f t="shared" si="32"/>
        <v>-440403</v>
      </c>
      <c r="W154" s="126">
        <f t="shared" si="32"/>
        <v>400066</v>
      </c>
      <c r="X154" s="126">
        <f t="shared" si="32"/>
        <v>-256193</v>
      </c>
      <c r="Y154" s="126">
        <f t="shared" si="32"/>
        <v>-531541</v>
      </c>
      <c r="Z154" s="126">
        <f t="shared" si="32"/>
        <v>272956</v>
      </c>
      <c r="AA154" s="126">
        <f t="shared" si="32"/>
        <v>-326724</v>
      </c>
      <c r="AB154" s="126">
        <f t="shared" si="32"/>
        <v>-472487</v>
      </c>
      <c r="AC154" s="126">
        <f t="shared" si="32"/>
        <v>-992022</v>
      </c>
      <c r="AD154" s="126">
        <f>AD150+AD143+AD149+AD137+AD144+AD151+AD152+AD145+AD146+AD153+AD139+AD138+AD140+AD141+AD142+AD148</f>
        <v>-161367</v>
      </c>
      <c r="AE154" s="126">
        <f>AE150+AE143+AE149+AE137+AE144+AE151+AE152+AE145+AE146+AE153+AE139+AE138+AE140+AE141+AE142+AE147</f>
        <v>-193395</v>
      </c>
      <c r="AF154" s="126">
        <f>AF150+AF143+AF149+AF137+AF144+AF151+AF152+AF145+AF146+AF153+AF139+AF138+AF140+AF141+AF142</f>
        <v>733727</v>
      </c>
      <c r="AG154" s="126">
        <f>AG150+AG143+AG149+AG137+AG144+AG151+AG152+AG145+AG146+AG153+AG139+AG138+AG140+AG141+AG142</f>
        <v>-1316778</v>
      </c>
    </row>
    <row r="155" spans="1:33">
      <c r="A155" s="125"/>
      <c r="B155" s="123"/>
      <c r="C155" s="123"/>
      <c r="D155" s="123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</row>
    <row r="156" spans="1:33">
      <c r="A156" s="114" t="s">
        <v>277</v>
      </c>
      <c r="B156" s="129"/>
      <c r="C156" s="129">
        <v>1474.335</v>
      </c>
      <c r="D156" s="129">
        <v>-580.90599999999995</v>
      </c>
      <c r="E156" s="128">
        <v>-893.42899999999997</v>
      </c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>
        <v>2928</v>
      </c>
      <c r="AD156" s="128">
        <v>75</v>
      </c>
      <c r="AE156" s="128"/>
      <c r="AF156" s="128">
        <v>-8223</v>
      </c>
      <c r="AG156" s="128">
        <v>-10344</v>
      </c>
    </row>
    <row r="157" spans="1:33">
      <c r="A157" s="114" t="s">
        <v>276</v>
      </c>
      <c r="B157" s="129">
        <v>49.353999999999999</v>
      </c>
      <c r="C157" s="130"/>
      <c r="D157" s="130"/>
      <c r="E157" s="128">
        <v>14.545999999999999</v>
      </c>
      <c r="F157" s="128"/>
      <c r="G157" s="128">
        <v>431.25</v>
      </c>
      <c r="H157" s="128">
        <v>9204.4709999999995</v>
      </c>
      <c r="I157" s="128"/>
      <c r="J157" s="128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28">
        <v>750000</v>
      </c>
      <c r="AG157" s="130"/>
    </row>
    <row r="158" spans="1:33">
      <c r="A158" s="114" t="s">
        <v>275</v>
      </c>
      <c r="B158" s="129">
        <v>-24.706</v>
      </c>
      <c r="C158" s="129">
        <v>-98.599000000000004</v>
      </c>
      <c r="D158" s="129">
        <v>-44.57</v>
      </c>
      <c r="E158" s="128">
        <v>-135.887</v>
      </c>
      <c r="F158" s="128">
        <v>-520.87400000000002</v>
      </c>
      <c r="G158" s="128">
        <v>-2072.8180000000002</v>
      </c>
      <c r="H158" s="128">
        <v>-1551.049</v>
      </c>
      <c r="I158" s="128">
        <v>-4432.1009999999997</v>
      </c>
      <c r="J158" s="128">
        <v>-2352.1970000000001</v>
      </c>
      <c r="K158" s="128">
        <v>-3234.4450000000002</v>
      </c>
      <c r="L158" s="128">
        <v>-422.38499999999999</v>
      </c>
      <c r="M158" s="128">
        <v>-1054.961</v>
      </c>
      <c r="N158" s="128">
        <v>-1176</v>
      </c>
      <c r="O158" s="128">
        <v>-910</v>
      </c>
      <c r="P158" s="128">
        <v>-1170</v>
      </c>
      <c r="Q158" s="128">
        <v>-1539</v>
      </c>
      <c r="R158" s="128">
        <v>-420</v>
      </c>
      <c r="S158" s="128">
        <v>-1942</v>
      </c>
      <c r="T158" s="128">
        <v>-2076</v>
      </c>
      <c r="U158" s="128">
        <v>-1887</v>
      </c>
      <c r="V158" s="128">
        <v>-1619</v>
      </c>
      <c r="W158" s="128">
        <v>-1083</v>
      </c>
      <c r="X158" s="128">
        <v>-2359</v>
      </c>
      <c r="Y158" s="128">
        <v>-2583</v>
      </c>
      <c r="Z158" s="128">
        <v>-1886</v>
      </c>
      <c r="AA158" s="128">
        <v>-13569</v>
      </c>
      <c r="AB158" s="128">
        <v>-3086</v>
      </c>
      <c r="AC158" s="128"/>
      <c r="AD158" s="128"/>
      <c r="AE158" s="128">
        <v>-13914</v>
      </c>
      <c r="AF158" s="128"/>
      <c r="AG158" s="128"/>
    </row>
    <row r="159" spans="1:33">
      <c r="A159" s="114" t="s">
        <v>274</v>
      </c>
      <c r="B159" s="129"/>
      <c r="C159" s="129"/>
      <c r="D159" s="129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>
        <v>-375000</v>
      </c>
      <c r="AG159" s="128">
        <v>-375000</v>
      </c>
    </row>
    <row r="160" spans="1:33">
      <c r="A160" s="114" t="s">
        <v>273</v>
      </c>
      <c r="B160" s="129"/>
      <c r="C160" s="129"/>
      <c r="D160" s="129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>
        <v>-2904</v>
      </c>
      <c r="AG160" s="128"/>
    </row>
    <row r="161" spans="1:33">
      <c r="A161" s="114" t="s">
        <v>272</v>
      </c>
      <c r="B161" s="129"/>
      <c r="C161" s="129"/>
      <c r="D161" s="129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>
        <v>17284</v>
      </c>
      <c r="O161" s="128">
        <v>29454</v>
      </c>
      <c r="P161" s="128">
        <v>4334</v>
      </c>
      <c r="Q161" s="128">
        <v>3131</v>
      </c>
      <c r="R161" s="128">
        <v>12374</v>
      </c>
      <c r="S161" s="128">
        <v>3824</v>
      </c>
      <c r="T161" s="128">
        <v>19656</v>
      </c>
      <c r="U161" s="128">
        <v>30348</v>
      </c>
      <c r="V161" s="128">
        <v>11924</v>
      </c>
      <c r="W161" s="128">
        <v>314737</v>
      </c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</row>
    <row r="162" spans="1:33">
      <c r="A162" s="114" t="s">
        <v>271</v>
      </c>
      <c r="B162" s="129">
        <v>677.31299999999999</v>
      </c>
      <c r="C162" s="129"/>
      <c r="D162" s="129"/>
      <c r="E162" s="128">
        <v>11</v>
      </c>
      <c r="F162" s="128">
        <v>75.956999999999994</v>
      </c>
      <c r="G162" s="128">
        <v>27.780999999999999</v>
      </c>
      <c r="H162" s="128">
        <v>256.63900000000001</v>
      </c>
      <c r="I162" s="128">
        <v>28.620999999999999</v>
      </c>
      <c r="J162" s="128">
        <v>8</v>
      </c>
      <c r="K162" s="128"/>
      <c r="L162" s="128"/>
      <c r="M162" s="128"/>
      <c r="N162" s="128">
        <v>3883</v>
      </c>
      <c r="O162" s="128">
        <v>8191</v>
      </c>
      <c r="P162" s="128">
        <v>2257</v>
      </c>
      <c r="Q162" s="128">
        <v>2502</v>
      </c>
      <c r="R162" s="128">
        <v>20824</v>
      </c>
      <c r="S162" s="128">
        <v>20318</v>
      </c>
      <c r="T162" s="128">
        <v>11015</v>
      </c>
      <c r="U162" s="128">
        <v>21252</v>
      </c>
      <c r="V162" s="128">
        <v>17168</v>
      </c>
      <c r="W162" s="128">
        <v>1696661</v>
      </c>
      <c r="X162" s="128">
        <v>16405</v>
      </c>
      <c r="Y162" s="128">
        <v>52626</v>
      </c>
      <c r="Z162" s="128">
        <v>27851</v>
      </c>
      <c r="AA162" s="128">
        <v>92363</v>
      </c>
      <c r="AB162" s="128">
        <v>72936</v>
      </c>
      <c r="AC162" s="128">
        <v>45723</v>
      </c>
      <c r="AD162" s="128">
        <v>64015</v>
      </c>
      <c r="AE162" s="128">
        <v>130267</v>
      </c>
      <c r="AF162" s="128">
        <v>78973</v>
      </c>
      <c r="AG162" s="128">
        <v>164568</v>
      </c>
    </row>
    <row r="163" spans="1:33">
      <c r="A163" s="114" t="s">
        <v>270</v>
      </c>
      <c r="B163" s="129"/>
      <c r="C163" s="129"/>
      <c r="D163" s="129"/>
      <c r="E163" s="128"/>
      <c r="F163" s="128"/>
      <c r="G163" s="128"/>
      <c r="H163" s="128">
        <v>-814.54499999999996</v>
      </c>
      <c r="I163" s="128"/>
      <c r="J163" s="128"/>
      <c r="K163" s="128">
        <v>748.43</v>
      </c>
      <c r="L163" s="128">
        <v>1719.9280000000001</v>
      </c>
      <c r="M163" s="128">
        <v>1167.76</v>
      </c>
      <c r="N163" s="128">
        <v>-27699</v>
      </c>
      <c r="O163" s="128">
        <v>-148</v>
      </c>
      <c r="P163" s="128">
        <v>-103467</v>
      </c>
      <c r="Q163" s="128">
        <v>-86173</v>
      </c>
      <c r="R163" s="128">
        <v>-23540</v>
      </c>
      <c r="S163" s="128">
        <v>-176392</v>
      </c>
      <c r="T163" s="128">
        <v>-727670</v>
      </c>
      <c r="U163" s="128">
        <v>-67599</v>
      </c>
      <c r="V163" s="128">
        <v>-8175</v>
      </c>
      <c r="W163" s="128">
        <v>-807967</v>
      </c>
      <c r="X163" s="128">
        <v>-2252437</v>
      </c>
      <c r="Y163" s="128">
        <v>-361178</v>
      </c>
      <c r="Z163" s="128">
        <v>-1342076</v>
      </c>
      <c r="AA163" s="128">
        <v>-707300</v>
      </c>
      <c r="AB163" s="128">
        <v>-595918</v>
      </c>
      <c r="AC163" s="128">
        <v>-13830</v>
      </c>
      <c r="AD163" s="128">
        <v>-771028</v>
      </c>
      <c r="AE163" s="128">
        <v>-658952</v>
      </c>
      <c r="AF163" s="128">
        <v>-3771875</v>
      </c>
      <c r="AG163" s="128">
        <v>-103646</v>
      </c>
    </row>
    <row r="164" spans="1:33">
      <c r="A164" s="127" t="s">
        <v>269</v>
      </c>
      <c r="B164" s="126">
        <f t="shared" ref="B164:AG164" si="33">B163+B162+B158+B157+B156+B161+B159+B160</f>
        <v>701.96100000000001</v>
      </c>
      <c r="C164" s="126">
        <f t="shared" si="33"/>
        <v>1375.7360000000001</v>
      </c>
      <c r="D164" s="126">
        <f t="shared" si="33"/>
        <v>-625.476</v>
      </c>
      <c r="E164" s="126">
        <f t="shared" si="33"/>
        <v>-1003.77</v>
      </c>
      <c r="F164" s="126">
        <f t="shared" si="33"/>
        <v>-444.91700000000003</v>
      </c>
      <c r="G164" s="126">
        <f t="shared" si="33"/>
        <v>-1613.7870000000003</v>
      </c>
      <c r="H164" s="126">
        <f t="shared" si="33"/>
        <v>7095.5159999999996</v>
      </c>
      <c r="I164" s="126">
        <f t="shared" si="33"/>
        <v>-4403.4799999999996</v>
      </c>
      <c r="J164" s="126">
        <f t="shared" si="33"/>
        <v>-2344.1970000000001</v>
      </c>
      <c r="K164" s="126">
        <f t="shared" si="33"/>
        <v>-2486.0150000000003</v>
      </c>
      <c r="L164" s="126">
        <f t="shared" si="33"/>
        <v>1297.5430000000001</v>
      </c>
      <c r="M164" s="126">
        <f t="shared" si="33"/>
        <v>112.79899999999998</v>
      </c>
      <c r="N164" s="126">
        <f t="shared" si="33"/>
        <v>-7708</v>
      </c>
      <c r="O164" s="126">
        <f t="shared" si="33"/>
        <v>36587</v>
      </c>
      <c r="P164" s="126">
        <f t="shared" si="33"/>
        <v>-98046</v>
      </c>
      <c r="Q164" s="126">
        <f t="shared" si="33"/>
        <v>-82079</v>
      </c>
      <c r="R164" s="126">
        <f t="shared" si="33"/>
        <v>9238</v>
      </c>
      <c r="S164" s="126">
        <f t="shared" si="33"/>
        <v>-154192</v>
      </c>
      <c r="T164" s="126">
        <f t="shared" si="33"/>
        <v>-699075</v>
      </c>
      <c r="U164" s="126">
        <f t="shared" si="33"/>
        <v>-17886</v>
      </c>
      <c r="V164" s="126">
        <f t="shared" si="33"/>
        <v>19298</v>
      </c>
      <c r="W164" s="126">
        <f t="shared" si="33"/>
        <v>1202348</v>
      </c>
      <c r="X164" s="126">
        <f t="shared" si="33"/>
        <v>-2238391</v>
      </c>
      <c r="Y164" s="126">
        <f t="shared" si="33"/>
        <v>-311135</v>
      </c>
      <c r="Z164" s="126">
        <f t="shared" si="33"/>
        <v>-1316111</v>
      </c>
      <c r="AA164" s="126">
        <f t="shared" si="33"/>
        <v>-628506</v>
      </c>
      <c r="AB164" s="126">
        <f t="shared" si="33"/>
        <v>-526068</v>
      </c>
      <c r="AC164" s="126">
        <f t="shared" si="33"/>
        <v>34821</v>
      </c>
      <c r="AD164" s="126">
        <f t="shared" si="33"/>
        <v>-706938</v>
      </c>
      <c r="AE164" s="126">
        <f t="shared" si="33"/>
        <v>-542599</v>
      </c>
      <c r="AF164" s="126">
        <f t="shared" si="33"/>
        <v>-3329029</v>
      </c>
      <c r="AG164" s="126">
        <f t="shared" si="33"/>
        <v>-324422</v>
      </c>
    </row>
    <row r="165" spans="1:33">
      <c r="A165" s="125"/>
      <c r="B165" s="123"/>
      <c r="C165" s="123"/>
      <c r="D165" s="123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</row>
    <row r="166" spans="1:33">
      <c r="A166" s="114" t="s">
        <v>268</v>
      </c>
      <c r="B166" s="123">
        <v>32.314999999999998</v>
      </c>
      <c r="C166" s="122">
        <v>3.8969999999999998</v>
      </c>
      <c r="D166" s="122">
        <v>24.37</v>
      </c>
      <c r="E166" s="121">
        <v>-127.82299999999999</v>
      </c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>
        <v>-1071</v>
      </c>
      <c r="Q166" s="121">
        <v>1904</v>
      </c>
      <c r="R166" s="121">
        <v>721</v>
      </c>
      <c r="S166" s="121">
        <v>-2119</v>
      </c>
      <c r="T166" s="121">
        <v>2733</v>
      </c>
      <c r="U166" s="121">
        <v>4496</v>
      </c>
      <c r="V166" s="121">
        <v>-5488</v>
      </c>
      <c r="W166" s="121">
        <v>-5306</v>
      </c>
      <c r="X166" s="121">
        <v>-4606</v>
      </c>
      <c r="Y166" s="121">
        <v>5985</v>
      </c>
      <c r="Z166" s="121">
        <v>-9835</v>
      </c>
      <c r="AA166" s="121">
        <v>1912</v>
      </c>
      <c r="AB166" s="121">
        <v>16848</v>
      </c>
      <c r="AC166" s="121">
        <v>-52491</v>
      </c>
      <c r="AD166" s="121">
        <v>-38715</v>
      </c>
      <c r="AE166" s="121">
        <v>8775</v>
      </c>
      <c r="AF166" s="121">
        <v>-97619</v>
      </c>
      <c r="AG166" s="121">
        <v>97853</v>
      </c>
    </row>
    <row r="167" spans="1:33">
      <c r="A167" s="119" t="s">
        <v>267</v>
      </c>
      <c r="B167" s="118">
        <f t="shared" ref="B167:AG167" si="34">B135+B154+B164+B166</f>
        <v>-1177.5889999999997</v>
      </c>
      <c r="C167" s="118">
        <f t="shared" si="34"/>
        <v>-1003.1209999999998</v>
      </c>
      <c r="D167" s="118">
        <f t="shared" si="34"/>
        <v>99.014999999999986</v>
      </c>
      <c r="E167" s="118">
        <f t="shared" si="34"/>
        <v>208.29900000000009</v>
      </c>
      <c r="F167" s="118">
        <f t="shared" si="34"/>
        <v>3410.8579999999997</v>
      </c>
      <c r="G167" s="118">
        <f t="shared" si="34"/>
        <v>-1796.9340000000007</v>
      </c>
      <c r="H167" s="118">
        <f t="shared" si="34"/>
        <v>-1878.489999999998</v>
      </c>
      <c r="I167" s="118">
        <f t="shared" si="34"/>
        <v>116.99200000000019</v>
      </c>
      <c r="J167" s="118">
        <f t="shared" si="34"/>
        <v>290.26300000000037</v>
      </c>
      <c r="K167" s="118">
        <f t="shared" si="34"/>
        <v>560.86500000000115</v>
      </c>
      <c r="L167" s="118">
        <f t="shared" si="34"/>
        <v>2577.3340000000012</v>
      </c>
      <c r="M167" s="118">
        <f t="shared" si="34"/>
        <v>57978.165000000001</v>
      </c>
      <c r="N167" s="118">
        <f t="shared" si="34"/>
        <v>-26525</v>
      </c>
      <c r="O167" s="118">
        <f t="shared" si="34"/>
        <v>-22689</v>
      </c>
      <c r="P167" s="118">
        <f t="shared" si="34"/>
        <v>244361</v>
      </c>
      <c r="Q167" s="118">
        <f t="shared" si="34"/>
        <v>71548</v>
      </c>
      <c r="R167" s="118">
        <f t="shared" si="34"/>
        <v>26493</v>
      </c>
      <c r="S167" s="118">
        <f t="shared" si="34"/>
        <v>4489</v>
      </c>
      <c r="T167" s="118">
        <f t="shared" si="34"/>
        <v>-136816</v>
      </c>
      <c r="U167" s="118">
        <f t="shared" si="34"/>
        <v>-11165</v>
      </c>
      <c r="V167" s="118">
        <f t="shared" si="34"/>
        <v>158974</v>
      </c>
      <c r="W167" s="118">
        <f t="shared" si="34"/>
        <v>1805094</v>
      </c>
      <c r="X167" s="118">
        <f t="shared" si="34"/>
        <v>-1797835</v>
      </c>
      <c r="Y167" s="118">
        <f t="shared" si="34"/>
        <v>151040</v>
      </c>
      <c r="Z167" s="118">
        <f t="shared" si="34"/>
        <v>108891</v>
      </c>
      <c r="AA167" s="118">
        <f t="shared" si="34"/>
        <v>160165</v>
      </c>
      <c r="AB167" s="118">
        <f t="shared" si="34"/>
        <v>382456</v>
      </c>
      <c r="AC167" s="118">
        <f t="shared" si="34"/>
        <v>146049</v>
      </c>
      <c r="AD167" s="118">
        <f t="shared" si="34"/>
        <v>-19321</v>
      </c>
      <c r="AE167" s="118">
        <f t="shared" si="34"/>
        <v>990534</v>
      </c>
      <c r="AF167" s="118">
        <f t="shared" si="34"/>
        <v>-764388</v>
      </c>
      <c r="AG167" s="118">
        <f t="shared" si="34"/>
        <v>554830</v>
      </c>
    </row>
    <row r="168" spans="1:33">
      <c r="A168" s="114" t="s">
        <v>266</v>
      </c>
      <c r="B168" s="120">
        <v>2268.6260000000002</v>
      </c>
      <c r="C168" s="120">
        <f t="shared" ref="C168:AG168" si="35">B169</f>
        <v>1091.0370000000005</v>
      </c>
      <c r="D168" s="120">
        <f t="shared" si="35"/>
        <v>87.916000000000736</v>
      </c>
      <c r="E168" s="116">
        <f t="shared" si="35"/>
        <v>186.93100000000072</v>
      </c>
      <c r="F168" s="116">
        <f t="shared" si="35"/>
        <v>395.23000000000081</v>
      </c>
      <c r="G168" s="116">
        <f t="shared" si="35"/>
        <v>3806.0880000000006</v>
      </c>
      <c r="H168" s="116">
        <f t="shared" si="35"/>
        <v>2009.154</v>
      </c>
      <c r="I168" s="116">
        <f t="shared" si="35"/>
        <v>130.66400000000203</v>
      </c>
      <c r="J168" s="116">
        <f t="shared" si="35"/>
        <v>247.65600000000222</v>
      </c>
      <c r="K168" s="116">
        <f t="shared" si="35"/>
        <v>537.9190000000026</v>
      </c>
      <c r="L168" s="116">
        <f t="shared" si="35"/>
        <v>1098.7840000000037</v>
      </c>
      <c r="M168" s="116">
        <f t="shared" si="35"/>
        <v>3676.1180000000049</v>
      </c>
      <c r="N168" s="116">
        <f t="shared" si="35"/>
        <v>61654.283000000003</v>
      </c>
      <c r="O168" s="116">
        <f t="shared" si="35"/>
        <v>35129.283000000003</v>
      </c>
      <c r="P168" s="116">
        <f t="shared" si="35"/>
        <v>12440.283000000003</v>
      </c>
      <c r="Q168" s="116">
        <f t="shared" si="35"/>
        <v>256801.283</v>
      </c>
      <c r="R168" s="116">
        <f t="shared" si="35"/>
        <v>328349.283</v>
      </c>
      <c r="S168" s="116">
        <f t="shared" si="35"/>
        <v>354842.283</v>
      </c>
      <c r="T168" s="116">
        <f t="shared" si="35"/>
        <v>359331.283</v>
      </c>
      <c r="U168" s="116">
        <f t="shared" si="35"/>
        <v>222515.283</v>
      </c>
      <c r="V168" s="116">
        <f t="shared" si="35"/>
        <v>211350.283</v>
      </c>
      <c r="W168" s="116">
        <f t="shared" si="35"/>
        <v>370324.283</v>
      </c>
      <c r="X168" s="116">
        <f t="shared" si="35"/>
        <v>2175418.2829999998</v>
      </c>
      <c r="Y168" s="116">
        <f t="shared" si="35"/>
        <v>377583.28299999982</v>
      </c>
      <c r="Z168" s="116">
        <f t="shared" si="35"/>
        <v>528623.28299999982</v>
      </c>
      <c r="AA168" s="116">
        <f t="shared" si="35"/>
        <v>637514.28299999982</v>
      </c>
      <c r="AB168" s="116">
        <f t="shared" si="35"/>
        <v>797679.28299999982</v>
      </c>
      <c r="AC168" s="116">
        <f t="shared" si="35"/>
        <v>1180135.2829999998</v>
      </c>
      <c r="AD168" s="116">
        <f t="shared" si="35"/>
        <v>1326184.2829999998</v>
      </c>
      <c r="AE168" s="116">
        <f t="shared" si="35"/>
        <v>1306863.2829999998</v>
      </c>
      <c r="AF168" s="116">
        <f t="shared" si="35"/>
        <v>2297397.2829999998</v>
      </c>
      <c r="AG168" s="116">
        <f t="shared" si="35"/>
        <v>1533009.2829999998</v>
      </c>
    </row>
    <row r="169" spans="1:33">
      <c r="A169" s="119" t="s">
        <v>265</v>
      </c>
      <c r="B169" s="118">
        <f t="shared" ref="B169:AG169" si="36">B168+B167</f>
        <v>1091.0370000000005</v>
      </c>
      <c r="C169" s="118">
        <f t="shared" si="36"/>
        <v>87.916000000000736</v>
      </c>
      <c r="D169" s="118">
        <f t="shared" si="36"/>
        <v>186.93100000000072</v>
      </c>
      <c r="E169" s="117">
        <f t="shared" si="36"/>
        <v>395.23000000000081</v>
      </c>
      <c r="F169" s="117">
        <f t="shared" si="36"/>
        <v>3806.0880000000006</v>
      </c>
      <c r="G169" s="117">
        <f t="shared" si="36"/>
        <v>2009.154</v>
      </c>
      <c r="H169" s="117">
        <f t="shared" si="36"/>
        <v>130.66400000000203</v>
      </c>
      <c r="I169" s="117">
        <f t="shared" si="36"/>
        <v>247.65600000000222</v>
      </c>
      <c r="J169" s="117">
        <f t="shared" si="36"/>
        <v>537.9190000000026</v>
      </c>
      <c r="K169" s="117">
        <f t="shared" si="36"/>
        <v>1098.7840000000037</v>
      </c>
      <c r="L169" s="117">
        <f t="shared" si="36"/>
        <v>3676.1180000000049</v>
      </c>
      <c r="M169" s="117">
        <f t="shared" si="36"/>
        <v>61654.283000000003</v>
      </c>
      <c r="N169" s="117">
        <f t="shared" si="36"/>
        <v>35129.283000000003</v>
      </c>
      <c r="O169" s="117">
        <f t="shared" si="36"/>
        <v>12440.283000000003</v>
      </c>
      <c r="P169" s="117">
        <f t="shared" si="36"/>
        <v>256801.283</v>
      </c>
      <c r="Q169" s="117">
        <f t="shared" si="36"/>
        <v>328349.283</v>
      </c>
      <c r="R169" s="117">
        <f t="shared" si="36"/>
        <v>354842.283</v>
      </c>
      <c r="S169" s="117">
        <f t="shared" si="36"/>
        <v>359331.283</v>
      </c>
      <c r="T169" s="117">
        <f t="shared" si="36"/>
        <v>222515.283</v>
      </c>
      <c r="U169" s="117">
        <f t="shared" si="36"/>
        <v>211350.283</v>
      </c>
      <c r="V169" s="117">
        <f t="shared" si="36"/>
        <v>370324.283</v>
      </c>
      <c r="W169" s="117">
        <f t="shared" si="36"/>
        <v>2175418.2829999998</v>
      </c>
      <c r="X169" s="117">
        <f t="shared" si="36"/>
        <v>377583.28299999982</v>
      </c>
      <c r="Y169" s="117">
        <f t="shared" si="36"/>
        <v>528623.28299999982</v>
      </c>
      <c r="Z169" s="117">
        <f t="shared" si="36"/>
        <v>637514.28299999982</v>
      </c>
      <c r="AA169" s="117">
        <f t="shared" si="36"/>
        <v>797679.28299999982</v>
      </c>
      <c r="AB169" s="117">
        <f t="shared" si="36"/>
        <v>1180135.2829999998</v>
      </c>
      <c r="AC169" s="117">
        <f t="shared" si="36"/>
        <v>1326184.2829999998</v>
      </c>
      <c r="AD169" s="117">
        <f t="shared" si="36"/>
        <v>1306863.2829999998</v>
      </c>
      <c r="AE169" s="117">
        <f t="shared" si="36"/>
        <v>2297397.2829999998</v>
      </c>
      <c r="AF169" s="117">
        <f t="shared" si="36"/>
        <v>1533009.2829999998</v>
      </c>
      <c r="AG169" s="117">
        <f t="shared" si="36"/>
        <v>2087839.2829999998</v>
      </c>
    </row>
    <row r="170" spans="1:33"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33"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33"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5" spans="1:33">
      <c r="A175" s="115"/>
    </row>
    <row r="176" spans="1:33">
      <c r="A176" s="115"/>
    </row>
    <row r="177" spans="1:1">
      <c r="A177" s="115"/>
    </row>
    <row r="178" spans="1:1">
      <c r="A178" s="115"/>
    </row>
    <row r="179" spans="1:1">
      <c r="A179" s="115"/>
    </row>
    <row r="180" spans="1:1">
      <c r="A180" s="115"/>
    </row>
    <row r="181" spans="1:1">
      <c r="A181" s="115"/>
    </row>
  </sheetData>
  <mergeCells count="1">
    <mergeCell ref="A2:AG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C5B3-A116-4D66-ABC8-9B98B76F5C00}">
  <dimension ref="A1:AA87"/>
  <sheetViews>
    <sheetView zoomScale="70" zoomScaleNormal="7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AA81" sqref="AA81"/>
    </sheetView>
  </sheetViews>
  <sheetFormatPr defaultRowHeight="14.4"/>
  <cols>
    <col min="1" max="1" width="34" style="99" customWidth="1"/>
    <col min="2" max="27" width="12" style="99" customWidth="1"/>
    <col min="28" max="16384" width="8.88671875" style="99"/>
  </cols>
  <sheetData>
    <row r="1" spans="1:27">
      <c r="A1" s="106" t="s">
        <v>264</v>
      </c>
      <c r="B1" s="106">
        <v>2000</v>
      </c>
      <c r="C1" s="106">
        <v>2001</v>
      </c>
      <c r="D1" s="106">
        <v>2002</v>
      </c>
      <c r="E1" s="106">
        <v>2003</v>
      </c>
      <c r="F1" s="106">
        <v>2004</v>
      </c>
      <c r="G1" s="106">
        <v>2005</v>
      </c>
      <c r="H1" s="106">
        <v>2006</v>
      </c>
      <c r="I1" s="106">
        <v>2007</v>
      </c>
      <c r="J1" s="106">
        <v>2008</v>
      </c>
      <c r="K1" s="106">
        <v>2009</v>
      </c>
      <c r="L1" s="106">
        <v>2010</v>
      </c>
      <c r="M1" s="106">
        <v>2011</v>
      </c>
      <c r="N1" s="106">
        <v>2012</v>
      </c>
      <c r="O1" s="106">
        <v>2013</v>
      </c>
      <c r="P1" s="106">
        <v>2014</v>
      </c>
      <c r="Q1" s="106">
        <v>2015</v>
      </c>
      <c r="R1" s="106">
        <v>2016</v>
      </c>
      <c r="S1" s="106">
        <v>2017</v>
      </c>
      <c r="T1" s="106">
        <v>2018</v>
      </c>
      <c r="U1" s="106">
        <v>2019</v>
      </c>
      <c r="V1" s="106">
        <v>2020</v>
      </c>
      <c r="W1" s="106">
        <v>2021</v>
      </c>
      <c r="X1" s="106">
        <v>2022</v>
      </c>
      <c r="Y1" s="106">
        <v>2023</v>
      </c>
      <c r="Z1" s="106">
        <v>2024</v>
      </c>
      <c r="AA1" s="106">
        <v>2025</v>
      </c>
    </row>
    <row r="3" spans="1:27">
      <c r="A3" s="106" t="s">
        <v>263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spans="1:27">
      <c r="A4" s="103" t="s">
        <v>202</v>
      </c>
      <c r="B4" s="105">
        <f>'Monster Consolidated Statements'!H33</f>
        <v>3889.2799999999988</v>
      </c>
      <c r="C4" s="105">
        <f>'Monster Consolidated Statements'!I33</f>
        <v>3001.4159999999947</v>
      </c>
      <c r="D4" s="105">
        <f>'Monster Consolidated Statements'!J33</f>
        <v>3023.2069999999926</v>
      </c>
      <c r="E4" s="105">
        <f>'Monster Consolidated Statements'!K33</f>
        <v>5930.4369999999963</v>
      </c>
      <c r="F4" s="105">
        <f>'Monster Consolidated Statements'!L33</f>
        <v>20386.787</v>
      </c>
      <c r="G4" s="105">
        <f>'Monster Consolidated Statements'!M33</f>
        <v>65631.621000000014</v>
      </c>
      <c r="H4" s="105">
        <f>'Monster Consolidated Statements'!N33</f>
        <v>97949</v>
      </c>
      <c r="I4" s="105">
        <f>'Monster Consolidated Statements'!O33</f>
        <v>149406</v>
      </c>
      <c r="J4" s="105">
        <f>'Monster Consolidated Statements'!P33</f>
        <v>98146</v>
      </c>
      <c r="K4" s="105">
        <f>'Monster Consolidated Statements'!Q33</f>
        <v>210330</v>
      </c>
      <c r="L4" s="105">
        <f>'Monster Consolidated Statements'!R33</f>
        <v>210541</v>
      </c>
      <c r="M4" s="105">
        <f>'Monster Consolidated Statements'!S33</f>
        <v>285372</v>
      </c>
      <c r="N4" s="105">
        <f>'Monster Consolidated Statements'!T33</f>
        <v>341489</v>
      </c>
      <c r="O4" s="105">
        <f>'Monster Consolidated Statements'!U33</f>
        <v>347683</v>
      </c>
      <c r="P4" s="105">
        <f>'Monster Consolidated Statements'!V33</f>
        <v>484902</v>
      </c>
      <c r="Q4" s="105">
        <f>'Monster Consolidated Statements'!W33</f>
        <v>389473</v>
      </c>
      <c r="R4" s="105">
        <f>'Monster Consolidated Statements'!X33</f>
        <v>723991</v>
      </c>
      <c r="S4" s="105">
        <f>'Monster Consolidated Statements'!Y33</f>
        <v>815006</v>
      </c>
      <c r="T4" s="105">
        <f>'Monster Consolidated Statements'!Z33</f>
        <v>973698</v>
      </c>
      <c r="U4" s="105">
        <f>'Monster Consolidated Statements'!AA33</f>
        <v>1081789</v>
      </c>
      <c r="V4" s="105">
        <f>'Monster Consolidated Statements'!AB33</f>
        <v>1423586</v>
      </c>
      <c r="W4" s="105">
        <f>'Monster Consolidated Statements'!AC33</f>
        <v>1369571</v>
      </c>
      <c r="X4" s="105">
        <f>'Monster Consolidated Statements'!AD33</f>
        <v>1217138</v>
      </c>
      <c r="Y4" s="105">
        <f>'Monster Consolidated Statements'!AE33</f>
        <v>1400734</v>
      </c>
      <c r="Z4" s="105">
        <f>'Monster Consolidated Statements'!AF33</f>
        <v>1390718</v>
      </c>
      <c r="AA4" s="105">
        <f>'Monster Consolidated Statements'!AG33</f>
        <v>1779082</v>
      </c>
    </row>
    <row r="5" spans="1:27">
      <c r="A5" s="103" t="s">
        <v>0</v>
      </c>
      <c r="B5" s="105">
        <f>'Monster Consolidated Statements'!H6</f>
        <v>79732.709000000003</v>
      </c>
      <c r="C5" s="105">
        <f>'Monster Consolidated Statements'!I6</f>
        <v>92279.710999999996</v>
      </c>
      <c r="D5" s="105">
        <f>'Monster Consolidated Statements'!J6</f>
        <v>92046.361999999994</v>
      </c>
      <c r="E5" s="105">
        <f>'Monster Consolidated Statements'!K6</f>
        <v>110352.196</v>
      </c>
      <c r="F5" s="105">
        <f>'Monster Consolidated Statements'!L6</f>
        <v>180341.13500000001</v>
      </c>
      <c r="G5" s="105">
        <f>'Monster Consolidated Statements'!M6</f>
        <v>348886.36599999998</v>
      </c>
      <c r="H5" s="105">
        <f>'Monster Consolidated Statements'!N6</f>
        <v>605774</v>
      </c>
      <c r="I5" s="105">
        <f>'Monster Consolidated Statements'!O6</f>
        <v>904465</v>
      </c>
      <c r="J5" s="105">
        <f>'Monster Consolidated Statements'!P6</f>
        <v>1033780</v>
      </c>
      <c r="K5" s="105">
        <f>'Monster Consolidated Statements'!Q6</f>
        <v>1143299</v>
      </c>
      <c r="L5" s="105">
        <f>'Monster Consolidated Statements'!R6</f>
        <v>1303942</v>
      </c>
      <c r="M5" s="105">
        <f>'Monster Consolidated Statements'!S6</f>
        <v>1703230</v>
      </c>
      <c r="N5" s="105">
        <f>'Monster Consolidated Statements'!T6</f>
        <v>2060702</v>
      </c>
      <c r="O5" s="105">
        <f>'Monster Consolidated Statements'!U6</f>
        <v>2246428</v>
      </c>
      <c r="P5" s="105">
        <f>'Monster Consolidated Statements'!V6</f>
        <v>2464867</v>
      </c>
      <c r="Q5" s="105">
        <f>'Monster Consolidated Statements'!W6</f>
        <v>2722564</v>
      </c>
      <c r="R5" s="105">
        <f>'Monster Consolidated Statements'!X6</f>
        <v>3049393</v>
      </c>
      <c r="S5" s="105">
        <f>'Monster Consolidated Statements'!Y6</f>
        <v>3369045</v>
      </c>
      <c r="T5" s="105">
        <f>'Monster Consolidated Statements'!Z6</f>
        <v>3807183</v>
      </c>
      <c r="U5" s="105">
        <f>'Monster Consolidated Statements'!AA6</f>
        <v>4200819</v>
      </c>
      <c r="V5" s="105">
        <f>'Monster Consolidated Statements'!AB6</f>
        <v>4598638</v>
      </c>
      <c r="W5" s="105">
        <f>'Monster Consolidated Statements'!AC6</f>
        <v>5541352</v>
      </c>
      <c r="X5" s="105">
        <f>'Monster Consolidated Statements'!AD6</f>
        <v>6311050</v>
      </c>
      <c r="Y5" s="105">
        <f>'Monster Consolidated Statements'!AE6</f>
        <v>7140027</v>
      </c>
      <c r="Z5" s="105">
        <f>'Monster Consolidated Statements'!AF6</f>
        <v>7492709</v>
      </c>
      <c r="AA5" s="105">
        <f>'Monster Consolidated Statements'!AG6</f>
        <v>8294343</v>
      </c>
    </row>
    <row r="6" spans="1:27">
      <c r="A6" s="103" t="s">
        <v>262</v>
      </c>
      <c r="B6" s="105">
        <f>AVERAGE('Monster Consolidated Statements'!G71,'Monster Consolidated Statements'!H71)</f>
        <v>33726.846000000005</v>
      </c>
      <c r="C6" s="105">
        <f>AVERAGE('Monster Consolidated Statements'!H71,'Monster Consolidated Statements'!I71)</f>
        <v>38653.011000000006</v>
      </c>
      <c r="D6" s="105">
        <f>AVERAGE('Monster Consolidated Statements'!I71,'Monster Consolidated Statements'!J71)</f>
        <v>39512.393500000006</v>
      </c>
      <c r="E6" s="105">
        <f>AVERAGE('Monster Consolidated Statements'!J71,'Monster Consolidated Statements'!K71)</f>
        <v>44230.266499999998</v>
      </c>
      <c r="F6" s="105">
        <f>AVERAGE('Monster Consolidated Statements'!K71,'Monster Consolidated Statements'!L71)</f>
        <v>65009.672500000001</v>
      </c>
      <c r="G6" s="105">
        <f>AVERAGE('Monster Consolidated Statements'!L71,'Monster Consolidated Statements'!M71)</f>
        <v>122955.946</v>
      </c>
      <c r="H6" s="105">
        <f>AVERAGE('Monster Consolidated Statements'!M71,'Monster Consolidated Statements'!N71)</f>
        <v>236130.78750000001</v>
      </c>
      <c r="I6" s="105">
        <f>AVERAGE('Monster Consolidated Statements'!N71,'Monster Consolidated Statements'!O71)</f>
        <v>426487.5</v>
      </c>
      <c r="J6" s="105">
        <f>AVERAGE('Monster Consolidated Statements'!O71,'Monster Consolidated Statements'!P71)</f>
        <v>653220</v>
      </c>
      <c r="K6" s="105">
        <f>AVERAGE('Monster Consolidated Statements'!P71,'Monster Consolidated Statements'!Q71)</f>
        <v>780953.5</v>
      </c>
      <c r="L6" s="105">
        <f>AVERAGE('Monster Consolidated Statements'!Q71,'Monster Consolidated Statements'!R71)</f>
        <v>941100.5</v>
      </c>
      <c r="M6" s="105">
        <f>AVERAGE('Monster Consolidated Statements'!R71,'Monster Consolidated Statements'!S71)</f>
        <v>1222265</v>
      </c>
      <c r="N6" s="105">
        <f>AVERAGE('Monster Consolidated Statements'!S71,'Monster Consolidated Statements'!T71)</f>
        <v>1202862</v>
      </c>
      <c r="O6" s="105">
        <f>AVERAGE('Monster Consolidated Statements'!T71,'Monster Consolidated Statements'!U71)</f>
        <v>1231917</v>
      </c>
      <c r="P6" s="105">
        <f>AVERAGE('Monster Consolidated Statements'!U71,'Monster Consolidated Statements'!V71)</f>
        <v>1679692</v>
      </c>
      <c r="Q6" s="105">
        <f>AVERAGE('Monster Consolidated Statements'!V71,'Monster Consolidated Statements'!W71)</f>
        <v>3755076</v>
      </c>
      <c r="R6" s="105">
        <f>AVERAGE('Monster Consolidated Statements'!W71,'Monster Consolidated Statements'!X71)</f>
        <v>4862374</v>
      </c>
      <c r="S6" s="105">
        <f>AVERAGE('Monster Consolidated Statements'!X71,'Monster Consolidated Statements'!Y71)</f>
        <v>4472241.5</v>
      </c>
      <c r="T6" s="105">
        <f>AVERAGE('Monster Consolidated Statements'!Y71,'Monster Consolidated Statements'!Z71)</f>
        <v>4658951.5</v>
      </c>
      <c r="U6" s="105">
        <f>AVERAGE('Monster Consolidated Statements'!Z71,'Monster Consolidated Statements'!AA71)</f>
        <v>4775100.5</v>
      </c>
      <c r="V6" s="105">
        <f>AVERAGE('Monster Consolidated Statements'!AA71,'Monster Consolidated Statements'!AB71)</f>
        <v>5613013</v>
      </c>
      <c r="W6" s="105">
        <f>AVERAGE('Monster Consolidated Statements'!AB71,'Monster Consolidated Statements'!AC71)</f>
        <v>7003750</v>
      </c>
      <c r="X6" s="105">
        <f>AVERAGE('Monster Consolidated Statements'!AC71,'Monster Consolidated Statements'!AD71)</f>
        <v>8048944.5</v>
      </c>
      <c r="Y6" s="105">
        <f>AVERAGE('Monster Consolidated Statements'!AD71,'Monster Consolidated Statements'!AE71)</f>
        <v>8989813.5</v>
      </c>
      <c r="Z6" s="105">
        <f>AVERAGE('Monster Consolidated Statements'!AE71,'Monster Consolidated Statements'!AF71)</f>
        <v>8702805.5</v>
      </c>
      <c r="AA6" s="105">
        <f>AVERAGE('Monster Consolidated Statements'!AF71,'Monster Consolidated Statements'!AG71)</f>
        <v>8634517</v>
      </c>
    </row>
    <row r="7" spans="1:27">
      <c r="A7" s="103" t="s">
        <v>261</v>
      </c>
      <c r="B7" s="105">
        <f>AVERAGE('Monster Consolidated Statements'!G100,'Monster Consolidated Statements'!H100)</f>
        <v>20340.286</v>
      </c>
      <c r="C7" s="105">
        <f>AVERAGE('Monster Consolidated Statements'!H100,'Monster Consolidated Statements'!I100)</f>
        <v>23694.122499999998</v>
      </c>
      <c r="D7" s="105">
        <f>AVERAGE('Monster Consolidated Statements'!I100,'Monster Consolidated Statements'!J100)</f>
        <v>26852.146499999999</v>
      </c>
      <c r="E7" s="105">
        <f>AVERAGE('Monster Consolidated Statements'!J100,'Monster Consolidated Statements'!K100)</f>
        <v>31710.161000000004</v>
      </c>
      <c r="F7" s="105">
        <f>AVERAGE('Monster Consolidated Statements'!K100,'Monster Consolidated Statements'!L100)</f>
        <v>46810.4035</v>
      </c>
      <c r="G7" s="105">
        <f>AVERAGE('Monster Consolidated Statements'!L100,'Monster Consolidated Statements'!M100)</f>
        <v>92040.114499999996</v>
      </c>
      <c r="H7" s="105">
        <f>AVERAGE('Monster Consolidated Statements'!M100,'Monster Consolidated Statements'!N100)</f>
        <v>175296.5</v>
      </c>
      <c r="I7" s="105">
        <f>AVERAGE('Monster Consolidated Statements'!N100,'Monster Consolidated Statements'!O100)</f>
        <v>323625.5</v>
      </c>
      <c r="J7" s="105">
        <f>AVERAGE('Monster Consolidated Statements'!O100,'Monster Consolidated Statements'!P100)</f>
        <v>429241.5</v>
      </c>
      <c r="K7" s="105">
        <f>AVERAGE('Monster Consolidated Statements'!P100,'Monster Consolidated Statements'!Q100)</f>
        <v>510634.5</v>
      </c>
      <c r="L7" s="105">
        <f>AVERAGE('Monster Consolidated Statements'!Q100,'Monster Consolidated Statements'!R100)</f>
        <v>706675.5</v>
      </c>
      <c r="M7" s="105">
        <f>AVERAGE('Monster Consolidated Statements'!R100,'Monster Consolidated Statements'!S100)</f>
        <v>903778</v>
      </c>
      <c r="N7" s="105">
        <f>AVERAGE('Monster Consolidated Statements'!S100,'Monster Consolidated Statements'!T100)</f>
        <v>811777.5</v>
      </c>
      <c r="O7" s="105">
        <f>AVERAGE('Monster Consolidated Statements'!T100,'Monster Consolidated Statements'!U100)</f>
        <v>818338</v>
      </c>
      <c r="P7" s="105">
        <f>AVERAGE('Monster Consolidated Statements'!U100,'Monster Consolidated Statements'!V100)</f>
        <v>1253714.5</v>
      </c>
      <c r="Q7" s="105">
        <f>AVERAGE('Monster Consolidated Statements'!V100,'Monster Consolidated Statements'!W100)</f>
        <v>3162280</v>
      </c>
      <c r="R7" s="105">
        <f>AVERAGE('Monster Consolidated Statements'!W100,'Monster Consolidated Statements'!X100)</f>
        <v>4069559.5</v>
      </c>
      <c r="S7" s="105">
        <f>AVERAGE('Monster Consolidated Statements'!X100,'Monster Consolidated Statements'!Y100)</f>
        <v>3612460.5</v>
      </c>
      <c r="T7" s="105">
        <f>AVERAGE('Monster Consolidated Statements'!Y100,'Monster Consolidated Statements'!Z100)</f>
        <v>3753056.5</v>
      </c>
      <c r="U7" s="105">
        <f>AVERAGE('Monster Consolidated Statements'!Z100,'Monster Consolidated Statements'!AA100)</f>
        <v>3891091</v>
      </c>
      <c r="V7" s="105">
        <f>AVERAGE('Monster Consolidated Statements'!AA100,'Monster Consolidated Statements'!AB100)</f>
        <v>4666070.5</v>
      </c>
      <c r="W7" s="105">
        <f>AVERAGE('Monster Consolidated Statements'!AB100,'Monster Consolidated Statements'!AC100)</f>
        <v>5863905.5</v>
      </c>
      <c r="X7" s="105">
        <f>AVERAGE('Monster Consolidated Statements'!AC100,'Monster Consolidated Statements'!AD100)</f>
        <v>6795996</v>
      </c>
      <c r="Y7" s="105">
        <f>AVERAGE('Monster Consolidated Statements'!AD100,'Monster Consolidated Statements'!AE100)</f>
        <v>7626892.5</v>
      </c>
      <c r="Z7" s="105">
        <f>AVERAGE('Monster Consolidated Statements'!AE100,'Monster Consolidated Statements'!AF100)</f>
        <v>7093231</v>
      </c>
      <c r="AA7" s="105">
        <f>AVERAGE('Monster Consolidated Statements'!AF100,'Monster Consolidated Statements'!AG100)</f>
        <v>7105913</v>
      </c>
    </row>
    <row r="8" spans="1:27">
      <c r="A8" s="103" t="s">
        <v>260</v>
      </c>
      <c r="B8" s="102">
        <f t="shared" ref="B8:AA8" si="0">IFERROR(B4/B5,0)</f>
        <v>4.8778977270168992E-2</v>
      </c>
      <c r="C8" s="102">
        <f t="shared" si="0"/>
        <v>3.2525199390795609E-2</v>
      </c>
      <c r="D8" s="102">
        <f t="shared" si="0"/>
        <v>3.2844394219512914E-2</v>
      </c>
      <c r="E8" s="102">
        <f t="shared" si="0"/>
        <v>5.3740996690269729E-2</v>
      </c>
      <c r="F8" s="102">
        <f t="shared" si="0"/>
        <v>0.113045684225066</v>
      </c>
      <c r="G8" s="102">
        <f t="shared" si="0"/>
        <v>0.18811747146347363</v>
      </c>
      <c r="H8" s="102">
        <f t="shared" si="0"/>
        <v>0.16169231429543032</v>
      </c>
      <c r="I8" s="102">
        <f t="shared" si="0"/>
        <v>0.16518715483739005</v>
      </c>
      <c r="J8" s="102">
        <f t="shared" si="0"/>
        <v>9.4938961868095723E-2</v>
      </c>
      <c r="K8" s="102">
        <f t="shared" si="0"/>
        <v>0.18396762351755752</v>
      </c>
      <c r="L8" s="102">
        <f t="shared" si="0"/>
        <v>0.16146500381151924</v>
      </c>
      <c r="M8" s="102">
        <f t="shared" si="0"/>
        <v>0.1675475420230973</v>
      </c>
      <c r="N8" s="102">
        <f t="shared" si="0"/>
        <v>0.16571488745097546</v>
      </c>
      <c r="O8" s="102">
        <f t="shared" si="0"/>
        <v>0.15477148611039393</v>
      </c>
      <c r="P8" s="102">
        <f t="shared" si="0"/>
        <v>0.19672542169618076</v>
      </c>
      <c r="Q8" s="102">
        <f t="shared" si="0"/>
        <v>0.14305375374095888</v>
      </c>
      <c r="R8" s="102">
        <f t="shared" si="0"/>
        <v>0.23742134910128015</v>
      </c>
      <c r="S8" s="102">
        <f t="shared" si="0"/>
        <v>0.24191009618452708</v>
      </c>
      <c r="T8" s="102">
        <f t="shared" si="0"/>
        <v>0.25575287555129345</v>
      </c>
      <c r="U8" s="102">
        <f t="shared" si="0"/>
        <v>0.25751859339809691</v>
      </c>
      <c r="V8" s="102">
        <f t="shared" si="0"/>
        <v>0.30956687610549039</v>
      </c>
      <c r="W8" s="102">
        <f t="shared" si="0"/>
        <v>0.24715466550401419</v>
      </c>
      <c r="X8" s="102">
        <f t="shared" si="0"/>
        <v>0.19285824070479557</v>
      </c>
      <c r="Y8" s="102">
        <f t="shared" si="0"/>
        <v>0.19618049063399901</v>
      </c>
      <c r="Z8" s="102">
        <f t="shared" si="0"/>
        <v>0.18560950385234498</v>
      </c>
      <c r="AA8" s="102">
        <f t="shared" si="0"/>
        <v>0.21449342039508132</v>
      </c>
    </row>
    <row r="9" spans="1:27">
      <c r="A9" s="103" t="s">
        <v>259</v>
      </c>
      <c r="B9" s="113">
        <f t="shared" ref="B9:AA9" si="1">IFERROR(B5/B6,0)</f>
        <v>2.3640724958390709</v>
      </c>
      <c r="C9" s="113">
        <f t="shared" si="1"/>
        <v>2.3873873887858306</v>
      </c>
      <c r="D9" s="113">
        <f t="shared" si="1"/>
        <v>2.3295567250310962</v>
      </c>
      <c r="E9" s="113">
        <f t="shared" si="1"/>
        <v>2.4949475717040954</v>
      </c>
      <c r="F9" s="113">
        <f t="shared" si="1"/>
        <v>2.774066197610825</v>
      </c>
      <c r="G9" s="113">
        <f t="shared" si="1"/>
        <v>2.8374908034134436</v>
      </c>
      <c r="H9" s="113">
        <f t="shared" si="1"/>
        <v>2.5654172690208812</v>
      </c>
      <c r="I9" s="113">
        <f t="shared" si="1"/>
        <v>2.1207303848295669</v>
      </c>
      <c r="J9" s="113">
        <f t="shared" si="1"/>
        <v>1.5825908575977465</v>
      </c>
      <c r="K9" s="113">
        <f t="shared" si="1"/>
        <v>1.4639783290554431</v>
      </c>
      <c r="L9" s="113">
        <f t="shared" si="1"/>
        <v>1.3855502148814074</v>
      </c>
      <c r="M9" s="113">
        <f t="shared" si="1"/>
        <v>1.3935030455752231</v>
      </c>
      <c r="N9" s="113">
        <f t="shared" si="1"/>
        <v>1.7131657663140079</v>
      </c>
      <c r="O9" s="113">
        <f t="shared" si="1"/>
        <v>1.8235222015768919</v>
      </c>
      <c r="P9" s="113">
        <f t="shared" si="1"/>
        <v>1.4674517709199066</v>
      </c>
      <c r="Q9" s="113">
        <f t="shared" si="1"/>
        <v>0.72503565839945716</v>
      </c>
      <c r="R9" s="113">
        <f t="shared" si="1"/>
        <v>0.62714077526738998</v>
      </c>
      <c r="S9" s="113">
        <f t="shared" si="1"/>
        <v>0.75332358505237251</v>
      </c>
      <c r="T9" s="113">
        <f t="shared" si="1"/>
        <v>0.81717592466888744</v>
      </c>
      <c r="U9" s="113">
        <f t="shared" si="1"/>
        <v>0.87973415428638624</v>
      </c>
      <c r="V9" s="113">
        <f t="shared" si="1"/>
        <v>0.81928155163724015</v>
      </c>
      <c r="W9" s="113">
        <f t="shared" si="1"/>
        <v>0.79119785829020173</v>
      </c>
      <c r="X9" s="113">
        <f t="shared" si="1"/>
        <v>0.78408417401809638</v>
      </c>
      <c r="Y9" s="113">
        <f t="shared" si="1"/>
        <v>0.79423527529241844</v>
      </c>
      <c r="Z9" s="113">
        <f t="shared" si="1"/>
        <v>0.86095328684525929</v>
      </c>
      <c r="AA9" s="113">
        <f t="shared" si="1"/>
        <v>0.96060300767257745</v>
      </c>
    </row>
    <row r="10" spans="1:27">
      <c r="A10" s="103" t="s">
        <v>258</v>
      </c>
      <c r="B10" s="113">
        <f t="shared" ref="B10:AA10" si="2">IFERROR(B6/B7,0)</f>
        <v>1.6581303724047933</v>
      </c>
      <c r="C10" s="113">
        <f t="shared" si="2"/>
        <v>1.6313332979518449</v>
      </c>
      <c r="D10" s="113">
        <f t="shared" si="2"/>
        <v>1.4714798870920807</v>
      </c>
      <c r="E10" s="113">
        <f t="shared" si="2"/>
        <v>1.3948294523007938</v>
      </c>
      <c r="F10" s="113">
        <f t="shared" si="2"/>
        <v>1.3887868430785903</v>
      </c>
      <c r="G10" s="113">
        <f t="shared" si="2"/>
        <v>1.3358951873098768</v>
      </c>
      <c r="H10" s="113">
        <f t="shared" si="2"/>
        <v>1.347036520980168</v>
      </c>
      <c r="I10" s="113">
        <f t="shared" si="2"/>
        <v>1.3178426916296768</v>
      </c>
      <c r="J10" s="113">
        <f t="shared" si="2"/>
        <v>1.5218006646608029</v>
      </c>
      <c r="K10" s="113">
        <f t="shared" si="2"/>
        <v>1.52937864558701</v>
      </c>
      <c r="L10" s="113">
        <f t="shared" si="2"/>
        <v>1.3317293439492384</v>
      </c>
      <c r="M10" s="113">
        <f t="shared" si="2"/>
        <v>1.3523951678398898</v>
      </c>
      <c r="N10" s="113">
        <f t="shared" si="2"/>
        <v>1.4817631678631151</v>
      </c>
      <c r="O10" s="113">
        <f t="shared" si="2"/>
        <v>1.5053889713052553</v>
      </c>
      <c r="P10" s="113">
        <f t="shared" si="2"/>
        <v>1.3397723325366342</v>
      </c>
      <c r="Q10" s="113">
        <f t="shared" si="2"/>
        <v>1.1874584160795376</v>
      </c>
      <c r="R10" s="113">
        <f t="shared" si="2"/>
        <v>1.1948158025457054</v>
      </c>
      <c r="S10" s="113">
        <f t="shared" si="2"/>
        <v>1.2380042632992112</v>
      </c>
      <c r="T10" s="113">
        <f t="shared" si="2"/>
        <v>1.2413752630689145</v>
      </c>
      <c r="U10" s="113">
        <f t="shared" si="2"/>
        <v>1.2271880816973955</v>
      </c>
      <c r="V10" s="113">
        <f t="shared" si="2"/>
        <v>1.2029421758629666</v>
      </c>
      <c r="W10" s="113">
        <f t="shared" si="2"/>
        <v>1.1943831632348099</v>
      </c>
      <c r="X10" s="113">
        <f t="shared" si="2"/>
        <v>1.1843656912099418</v>
      </c>
      <c r="Y10" s="113">
        <f t="shared" si="2"/>
        <v>1.1786993851034351</v>
      </c>
      <c r="Z10" s="113">
        <f t="shared" si="2"/>
        <v>1.2269169719694735</v>
      </c>
      <c r="AA10" s="113">
        <f t="shared" si="2"/>
        <v>1.2151171848008835</v>
      </c>
    </row>
    <row r="11" spans="1:27">
      <c r="A11" s="101" t="s">
        <v>257</v>
      </c>
      <c r="B11" s="100">
        <f t="shared" ref="B11:AA11" si="3">B8*B9*B10</f>
        <v>0.19121068405822803</v>
      </c>
      <c r="C11" s="100">
        <f t="shared" si="3"/>
        <v>0.12667343979503759</v>
      </c>
      <c r="D11" s="100">
        <f t="shared" si="3"/>
        <v>0.11258716319010076</v>
      </c>
      <c r="E11" s="100">
        <f t="shared" si="3"/>
        <v>0.1870200848239148</v>
      </c>
      <c r="F11" s="100">
        <f t="shared" si="3"/>
        <v>0.43551829242403345</v>
      </c>
      <c r="G11" s="100">
        <f t="shared" si="3"/>
        <v>0.7130762641543652</v>
      </c>
      <c r="H11" s="100">
        <f t="shared" si="3"/>
        <v>0.55876186917593917</v>
      </c>
      <c r="I11" s="100">
        <f t="shared" si="3"/>
        <v>0.46166324965121708</v>
      </c>
      <c r="J11" s="100">
        <f t="shared" si="3"/>
        <v>0.22864983930957283</v>
      </c>
      <c r="K11" s="100">
        <f t="shared" si="3"/>
        <v>0.41189931350114423</v>
      </c>
      <c r="L11" s="100">
        <f t="shared" si="3"/>
        <v>0.29793165321282539</v>
      </c>
      <c r="M11" s="100">
        <f t="shared" si="3"/>
        <v>0.31575453263965264</v>
      </c>
      <c r="N11" s="100">
        <f t="shared" si="3"/>
        <v>0.42066822497543971</v>
      </c>
      <c r="O11" s="100">
        <f t="shared" si="3"/>
        <v>0.42486478692178542</v>
      </c>
      <c r="P11" s="100">
        <f t="shared" si="3"/>
        <v>0.38677226752980842</v>
      </c>
      <c r="Q11" s="100">
        <f t="shared" si="3"/>
        <v>0.12316208558381926</v>
      </c>
      <c r="R11" s="100">
        <f t="shared" si="3"/>
        <v>0.17790402130746583</v>
      </c>
      <c r="S11" s="100">
        <f t="shared" si="3"/>
        <v>0.22560966410566982</v>
      </c>
      <c r="T11" s="100">
        <f t="shared" si="3"/>
        <v>0.25944133801342983</v>
      </c>
      <c r="U11" s="100">
        <f t="shared" si="3"/>
        <v>0.27801688523861307</v>
      </c>
      <c r="V11" s="100">
        <f t="shared" si="3"/>
        <v>0.30509311850303167</v>
      </c>
      <c r="W11" s="100">
        <f t="shared" si="3"/>
        <v>0.23355952786074058</v>
      </c>
      <c r="X11" s="100">
        <f t="shared" si="3"/>
        <v>0.17909633849107623</v>
      </c>
      <c r="Y11" s="100">
        <f t="shared" si="3"/>
        <v>0.18365723654817478</v>
      </c>
      <c r="Z11" s="100">
        <f t="shared" si="3"/>
        <v>0.19606269695714124</v>
      </c>
      <c r="AA11" s="100">
        <f t="shared" si="3"/>
        <v>0.25036642019118444</v>
      </c>
    </row>
    <row r="12" spans="1:27">
      <c r="A12" s="101" t="s">
        <v>256</v>
      </c>
      <c r="B12" s="100">
        <f t="shared" ref="B12:AA12" si="4">IFERROR(B4/B7,0)</f>
        <v>0.19121068405822803</v>
      </c>
      <c r="C12" s="100">
        <f t="shared" si="4"/>
        <v>0.12667343979503756</v>
      </c>
      <c r="D12" s="100">
        <f t="shared" si="4"/>
        <v>0.11258716319010074</v>
      </c>
      <c r="E12" s="100">
        <f t="shared" si="4"/>
        <v>0.18702008482391483</v>
      </c>
      <c r="F12" s="100">
        <f t="shared" si="4"/>
        <v>0.43551829242403345</v>
      </c>
      <c r="G12" s="100">
        <f t="shared" si="4"/>
        <v>0.7130762641543652</v>
      </c>
      <c r="H12" s="100">
        <f t="shared" si="4"/>
        <v>0.55876186917593906</v>
      </c>
      <c r="I12" s="100">
        <f t="shared" si="4"/>
        <v>0.46166324965121724</v>
      </c>
      <c r="J12" s="100">
        <f t="shared" si="4"/>
        <v>0.22864983930957281</v>
      </c>
      <c r="K12" s="100">
        <f t="shared" si="4"/>
        <v>0.41189931350114417</v>
      </c>
      <c r="L12" s="100">
        <f t="shared" si="4"/>
        <v>0.29793165321282539</v>
      </c>
      <c r="M12" s="100">
        <f t="shared" si="4"/>
        <v>0.31575453263965264</v>
      </c>
      <c r="N12" s="100">
        <f t="shared" si="4"/>
        <v>0.42066822497543971</v>
      </c>
      <c r="O12" s="100">
        <f t="shared" si="4"/>
        <v>0.42486478692178536</v>
      </c>
      <c r="P12" s="100">
        <f t="shared" si="4"/>
        <v>0.38677226752980842</v>
      </c>
      <c r="Q12" s="100">
        <f t="shared" si="4"/>
        <v>0.12316208558381928</v>
      </c>
      <c r="R12" s="100">
        <f t="shared" si="4"/>
        <v>0.17790402130746583</v>
      </c>
      <c r="S12" s="100">
        <f t="shared" si="4"/>
        <v>0.22560966410566979</v>
      </c>
      <c r="T12" s="100">
        <f t="shared" si="4"/>
        <v>0.25944133801342983</v>
      </c>
      <c r="U12" s="100">
        <f t="shared" si="4"/>
        <v>0.27801688523861301</v>
      </c>
      <c r="V12" s="100">
        <f t="shared" si="4"/>
        <v>0.30509311850303161</v>
      </c>
      <c r="W12" s="100">
        <f t="shared" si="4"/>
        <v>0.23355952786074061</v>
      </c>
      <c r="X12" s="100">
        <f t="shared" si="4"/>
        <v>0.17909633849107623</v>
      </c>
      <c r="Y12" s="100">
        <f t="shared" si="4"/>
        <v>0.18365723654817476</v>
      </c>
      <c r="Z12" s="100">
        <f t="shared" si="4"/>
        <v>0.19606269695714126</v>
      </c>
      <c r="AA12" s="100">
        <f t="shared" si="4"/>
        <v>0.25036642019118444</v>
      </c>
    </row>
    <row r="13" spans="1:27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</row>
    <row r="14" spans="1:27">
      <c r="A14" s="106" t="s">
        <v>255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spans="1:27">
      <c r="A15" s="103" t="s">
        <v>226</v>
      </c>
      <c r="B15" s="105">
        <f>'Monster Consolidated Statements'!H23</f>
        <v>6900.3319999999985</v>
      </c>
      <c r="C15" s="105">
        <f>'Monster Consolidated Statements'!I23</f>
        <v>5550.903999999995</v>
      </c>
      <c r="D15" s="105">
        <f>'Monster Consolidated Statements'!J23</f>
        <v>5292.8929999999928</v>
      </c>
      <c r="E15" s="105">
        <f>'Monster Consolidated Statements'!K23</f>
        <v>9826.1279999999897</v>
      </c>
      <c r="F15" s="105">
        <f>'Monster Consolidated Statements'!L23</f>
        <v>33886.185000000012</v>
      </c>
      <c r="G15" s="105">
        <f>'Monster Consolidated Statements'!M23</f>
        <v>103443.348</v>
      </c>
      <c r="H15" s="105">
        <f>'Monster Consolidated Statements'!N23</f>
        <v>158579</v>
      </c>
      <c r="I15" s="105">
        <f>'Monster Consolidated Statements'!O23</f>
        <v>230986</v>
      </c>
      <c r="J15" s="105">
        <f>'Monster Consolidated Statements'!P23</f>
        <v>163591</v>
      </c>
      <c r="K15" s="105">
        <f>'Monster Consolidated Statements'!Q23</f>
        <v>337309</v>
      </c>
      <c r="L15" s="105">
        <f>'Monster Consolidated Statements'!R23</f>
        <v>347814</v>
      </c>
      <c r="M15" s="105">
        <f>'Monster Consolidated Statements'!S23</f>
        <v>456423</v>
      </c>
      <c r="N15" s="105">
        <f>'Monster Consolidated Statements'!T23</f>
        <v>550623</v>
      </c>
      <c r="O15" s="105">
        <f>'Monster Consolidated Statements'!U23</f>
        <v>572916</v>
      </c>
      <c r="P15" s="105">
        <f>'Monster Consolidated Statements'!V23</f>
        <v>747505</v>
      </c>
      <c r="Q15" s="105">
        <f>'Monster Consolidated Statements'!W23</f>
        <v>732183</v>
      </c>
      <c r="R15" s="105">
        <f>'Monster Consolidated Statements'!X23</f>
        <v>1085338</v>
      </c>
      <c r="S15" s="105">
        <f>'Monster Consolidated Statements'!Y23</f>
        <v>1198787</v>
      </c>
      <c r="T15" s="105">
        <f>'Monster Consolidated Statements'!Z23</f>
        <v>1283619</v>
      </c>
      <c r="U15" s="105">
        <f>'Monster Consolidated Statements'!AA23</f>
        <v>1402939</v>
      </c>
      <c r="V15" s="105">
        <f>'Monster Consolidated Statements'!AB23</f>
        <v>1633153</v>
      </c>
      <c r="W15" s="105">
        <f>'Monster Consolidated Statements'!AC23</f>
        <v>1797467</v>
      </c>
      <c r="X15" s="105">
        <f>'Monster Consolidated Statements'!AD23</f>
        <v>1584721</v>
      </c>
      <c r="Y15" s="105">
        <f>'Monster Consolidated Statements'!AE23</f>
        <v>1953355</v>
      </c>
      <c r="Z15" s="105">
        <f>'Monster Consolidated Statements'!AF23</f>
        <v>1930294</v>
      </c>
      <c r="AA15" s="105">
        <f>'Monster Consolidated Statements'!AG23</f>
        <v>2419354</v>
      </c>
    </row>
    <row r="16" spans="1:27">
      <c r="A16" s="103" t="s">
        <v>254</v>
      </c>
      <c r="B16" s="102">
        <f>IFERROR('Monster Consolidated Statements'!H32/'Monster Consolidated Statements'!H29,0)</f>
        <v>0.40213359453710279</v>
      </c>
      <c r="C16" s="102">
        <f>IFERROR('Monster Consolidated Statements'!I32/'Monster Consolidated Statements'!I29,0)</f>
        <v>0.40143086258191085</v>
      </c>
      <c r="D16" s="102">
        <f>IFERROR('Monster Consolidated Statements'!J32/'Monster Consolidated Statements'!J29,0)</f>
        <v>0.40243224850158787</v>
      </c>
      <c r="E16" s="102">
        <f>IFERROR('Monster Consolidated Statements'!K32/'Monster Consolidated Statements'!K29,0)</f>
        <v>0.39197056329109742</v>
      </c>
      <c r="F16" s="102">
        <f>IFERROR('Monster Consolidated Statements'!L32/'Monster Consolidated Statements'!L29,0)</f>
        <v>0.39762828469530564</v>
      </c>
      <c r="G16" s="102">
        <f>IFERROR('Monster Consolidated Statements'!M32/'Monster Consolidated Statements'!M29,0)</f>
        <v>0.3746253395096425</v>
      </c>
      <c r="H16" s="102">
        <f>IFERROR('Monster Consolidated Statements'!N32/'Monster Consolidated Statements'!N29,0)</f>
        <v>0.39626723537497149</v>
      </c>
      <c r="I16" s="102">
        <f>IFERROR('Monster Consolidated Statements'!O32/'Monster Consolidated Statements'!O29,0)</f>
        <v>0.37684145547973774</v>
      </c>
      <c r="J16" s="102">
        <f>IFERROR('Monster Consolidated Statements'!P32/'Monster Consolidated Statements'!P29,0)</f>
        <v>0.40005257012916356</v>
      </c>
      <c r="K16" s="102">
        <f>IFERROR('Monster Consolidated Statements'!Q32/'Monster Consolidated Statements'!Q29,0)</f>
        <v>0.37644711525633767</v>
      </c>
      <c r="L16" s="102">
        <f>IFERROR('Monster Consolidated Statements'!R32/'Monster Consolidated Statements'!R29,0)</f>
        <v>0.39467358990724927</v>
      </c>
      <c r="M16" s="102">
        <f>IFERROR('Monster Consolidated Statements'!S32/'Monster Consolidated Statements'!S29,0)</f>
        <v>0.37476419899961222</v>
      </c>
      <c r="N16" s="102">
        <f>IFERROR('Monster Consolidated Statements'!T32/'Monster Consolidated Statements'!T29,0)</f>
        <v>0.37981341135404806</v>
      </c>
      <c r="O16" s="102">
        <f>IFERROR('Monster Consolidated Statements'!U32/'Monster Consolidated Statements'!U29,0)</f>
        <v>0.3931344211018718</v>
      </c>
      <c r="P16" s="102">
        <f>IFERROR('Monster Consolidated Statements'!V32/'Monster Consolidated Statements'!V29,0)</f>
        <v>0.3513060113310279</v>
      </c>
      <c r="Q16" s="102">
        <f>IFERROR('Monster Consolidated Statements'!W32/'Monster Consolidated Statements'!W29,0)</f>
        <v>0.46959095068964768</v>
      </c>
      <c r="R16" s="102">
        <f>IFERROR('Monster Consolidated Statements'!X32/'Monster Consolidated Statements'!X29,0)</f>
        <v>0.33639140927835337</v>
      </c>
      <c r="S16" s="102">
        <f>IFERROR('Monster Consolidated Statements'!Y32/'Monster Consolidated Statements'!Y29,0)</f>
        <v>0.31852893638618973</v>
      </c>
      <c r="T16" s="102">
        <f>IFERROR('Monster Consolidated Statements'!Z32/'Monster Consolidated Statements'!Z29,0)</f>
        <v>0.23569545812054638</v>
      </c>
      <c r="U16" s="102">
        <f>IFERROR('Monster Consolidated Statements'!AA32/'Monster Consolidated Statements'!AA29,0)</f>
        <v>0.22168749766172921</v>
      </c>
      <c r="V16" s="102">
        <f>IFERROR('Monster Consolidated Statements'!AB32/'Monster Consolidated Statements'!AB29,0)</f>
        <v>0.13203861356498708</v>
      </c>
      <c r="W16" s="102">
        <f>IFERROR('Monster Consolidated Statements'!AC32/'Monster Consolidated Statements'!AC29,0)</f>
        <v>0.23637605484202809</v>
      </c>
      <c r="X16" s="102">
        <f>IFERROR('Monster Consolidated Statements'!AD32/'Monster Consolidated Statements'!AD29,0)</f>
        <v>0.2380877858724815</v>
      </c>
      <c r="Y16" s="102">
        <f>IFERROR('Monster Consolidated Statements'!AE32/'Monster Consolidated Statements'!AE29,0)</f>
        <v>0.23799768037479574</v>
      </c>
      <c r="Z16" s="102">
        <f>IFERROR('Monster Consolidated Statements'!AF32/'Monster Consolidated Statements'!AF29,0)</f>
        <v>0.25674926742089937</v>
      </c>
      <c r="AA16" s="102">
        <f>IFERROR('Monster Consolidated Statements'!AG32/'Monster Consolidated Statements'!AG29,0)</f>
        <v>0.24492918407302672</v>
      </c>
    </row>
    <row r="17" spans="1:27">
      <c r="A17" s="103" t="s">
        <v>253</v>
      </c>
      <c r="B17" s="105">
        <f t="shared" ref="B17:AA17" si="5">B15*(1-B16)</f>
        <v>4125.476689340604</v>
      </c>
      <c r="C17" s="105">
        <f t="shared" si="5"/>
        <v>3322.5998191706176</v>
      </c>
      <c r="D17" s="105">
        <f t="shared" si="5"/>
        <v>3162.8621689316806</v>
      </c>
      <c r="E17" s="105">
        <f t="shared" si="5"/>
        <v>5974.5750728695684</v>
      </c>
      <c r="F17" s="105">
        <f t="shared" si="5"/>
        <v>20412.079383582211</v>
      </c>
      <c r="G17" s="105">
        <f t="shared" si="5"/>
        <v>64690.848635485898</v>
      </c>
      <c r="H17" s="105">
        <f t="shared" si="5"/>
        <v>95739.338081472408</v>
      </c>
      <c r="I17" s="105">
        <f t="shared" si="5"/>
        <v>143940.8995645573</v>
      </c>
      <c r="J17" s="105">
        <f t="shared" si="5"/>
        <v>98146.000000000015</v>
      </c>
      <c r="K17" s="105">
        <f t="shared" si="5"/>
        <v>210330</v>
      </c>
      <c r="L17" s="105">
        <f t="shared" si="5"/>
        <v>210540.99999999997</v>
      </c>
      <c r="M17" s="105">
        <f t="shared" si="5"/>
        <v>285372</v>
      </c>
      <c r="N17" s="105">
        <f t="shared" si="5"/>
        <v>341488.99999999994</v>
      </c>
      <c r="O17" s="105">
        <f t="shared" si="5"/>
        <v>347683</v>
      </c>
      <c r="P17" s="105">
        <f t="shared" si="5"/>
        <v>484902</v>
      </c>
      <c r="Q17" s="105">
        <f t="shared" si="5"/>
        <v>388356.48895120173</v>
      </c>
      <c r="R17" s="105">
        <f t="shared" si="5"/>
        <v>720239.62063665059</v>
      </c>
      <c r="S17" s="105">
        <f t="shared" si="5"/>
        <v>816938.65193640871</v>
      </c>
      <c r="T17" s="105">
        <f t="shared" si="5"/>
        <v>981075.83174276236</v>
      </c>
      <c r="U17" s="105">
        <f t="shared" si="5"/>
        <v>1091924.9637179512</v>
      </c>
      <c r="V17" s="105">
        <f t="shared" si="5"/>
        <v>1417513.7421405006</v>
      </c>
      <c r="W17" s="105">
        <f t="shared" si="5"/>
        <v>1372588.8418312643</v>
      </c>
      <c r="X17" s="105">
        <f t="shared" si="5"/>
        <v>1207418.2858843752</v>
      </c>
      <c r="Y17" s="105">
        <f t="shared" si="5"/>
        <v>1488461.0410514909</v>
      </c>
      <c r="Z17" s="105">
        <f t="shared" si="5"/>
        <v>1434692.4295930425</v>
      </c>
      <c r="AA17" s="105">
        <f t="shared" si="5"/>
        <v>1826783.5987961863</v>
      </c>
    </row>
    <row r="18" spans="1:27">
      <c r="A18" s="103" t="s">
        <v>252</v>
      </c>
      <c r="B18" s="105">
        <f>SUM('Monster Consolidated Statements'!H74,'Monster Consolidated Statements'!H83,'Monster Consolidated Statements'!H87)</f>
        <v>9966.6110000000008</v>
      </c>
      <c r="C18" s="105">
        <f>SUM('Monster Consolidated Statements'!I74,'Monster Consolidated Statements'!I83,'Monster Consolidated Statements'!I87)</f>
        <v>6188.9769999999999</v>
      </c>
      <c r="D18" s="105">
        <f>SUM('Monster Consolidated Statements'!J74,'Monster Consolidated Statements'!J83,'Monster Consolidated Statements'!J87)</f>
        <v>3836.7799999999997</v>
      </c>
      <c r="E18" s="105">
        <f>SUM('Monster Consolidated Statements'!K74,'Monster Consolidated Statements'!K83,'Monster Consolidated Statements'!K87)</f>
        <v>602.33500000000004</v>
      </c>
      <c r="F18" s="105">
        <f>SUM('Monster Consolidated Statements'!L74,'Monster Consolidated Statements'!L83,'Monster Consolidated Statements'!L87)</f>
        <v>583.85199999999998</v>
      </c>
      <c r="G18" s="105">
        <f>SUM('Monster Consolidated Statements'!M74,'Monster Consolidated Statements'!M83,'Monster Consolidated Statements'!M87)</f>
        <v>525.34400000000005</v>
      </c>
      <c r="H18" s="105">
        <f>SUM('Monster Consolidated Statements'!N74,'Monster Consolidated Statements'!N83,'Monster Consolidated Statements'!N87)</f>
        <v>303</v>
      </c>
      <c r="I18" s="105">
        <f>SUM('Monster Consolidated Statements'!O74,'Monster Consolidated Statements'!O83,'Monster Consolidated Statements'!O87)</f>
        <v>663</v>
      </c>
      <c r="J18" s="105">
        <f>SUM('Monster Consolidated Statements'!P74,'Monster Consolidated Statements'!P83,'Monster Consolidated Statements'!P87)</f>
        <v>959</v>
      </c>
      <c r="K18" s="105">
        <f>SUM('Monster Consolidated Statements'!Q74,'Monster Consolidated Statements'!Q83,'Monster Consolidated Statements'!Q87)</f>
        <v>206</v>
      </c>
      <c r="L18" s="105">
        <f>SUM('Monster Consolidated Statements'!R74,'Monster Consolidated Statements'!R83,'Monster Consolidated Statements'!R87)</f>
        <v>274</v>
      </c>
      <c r="M18" s="105">
        <f>SUM('Monster Consolidated Statements'!S74,'Monster Consolidated Statements'!S83,'Monster Consolidated Statements'!S87)</f>
        <v>0</v>
      </c>
      <c r="N18" s="105">
        <f>SUM('Monster Consolidated Statements'!T74,'Monster Consolidated Statements'!T83,'Monster Consolidated Statements'!T87)</f>
        <v>0</v>
      </c>
      <c r="O18" s="105">
        <f>SUM('Monster Consolidated Statements'!U74,'Monster Consolidated Statements'!U83,'Monster Consolidated Statements'!U87)</f>
        <v>0</v>
      </c>
      <c r="P18" s="105">
        <f>SUM('Monster Consolidated Statements'!V74,'Monster Consolidated Statements'!V83,'Monster Consolidated Statements'!V87)</f>
        <v>0</v>
      </c>
      <c r="Q18" s="105">
        <f>SUM('Monster Consolidated Statements'!W74,'Monster Consolidated Statements'!W83,'Monster Consolidated Statements'!W87)</f>
        <v>0</v>
      </c>
      <c r="R18" s="105">
        <f>SUM('Monster Consolidated Statements'!X74,'Monster Consolidated Statements'!X83,'Monster Consolidated Statements'!X87)</f>
        <v>0</v>
      </c>
      <c r="S18" s="105">
        <f>SUM('Monster Consolidated Statements'!Y74,'Monster Consolidated Statements'!Y83,'Monster Consolidated Statements'!Y87)</f>
        <v>0</v>
      </c>
      <c r="T18" s="105">
        <f>SUM('Monster Consolidated Statements'!Z74,'Monster Consolidated Statements'!Z83,'Monster Consolidated Statements'!Z87)</f>
        <v>0</v>
      </c>
      <c r="U18" s="105">
        <f>SUM('Monster Consolidated Statements'!AA74,'Monster Consolidated Statements'!AA83,'Monster Consolidated Statements'!AA87)</f>
        <v>0</v>
      </c>
      <c r="V18" s="105">
        <f>SUM('Monster Consolidated Statements'!AB74,'Monster Consolidated Statements'!AB83,'Monster Consolidated Statements'!AB87)</f>
        <v>0</v>
      </c>
      <c r="W18" s="105">
        <f>SUM('Monster Consolidated Statements'!AC74,'Monster Consolidated Statements'!AC83,'Monster Consolidated Statements'!AC87)</f>
        <v>0</v>
      </c>
      <c r="X18" s="105">
        <f>SUM('Monster Consolidated Statements'!AD74,'Monster Consolidated Statements'!AD83,'Monster Consolidated Statements'!AD87)</f>
        <v>0</v>
      </c>
      <c r="Y18" s="105">
        <f>SUM('Monster Consolidated Statements'!AE74,'Monster Consolidated Statements'!AE83,'Monster Consolidated Statements'!AE87)</f>
        <v>0</v>
      </c>
      <c r="Z18" s="105">
        <f>SUM('Monster Consolidated Statements'!AF74,'Monster Consolidated Statements'!AF83,'Monster Consolidated Statements'!AF87)</f>
        <v>373951</v>
      </c>
      <c r="AA18" s="105">
        <f>SUM('Monster Consolidated Statements'!AG74,'Monster Consolidated Statements'!AG83,'Monster Consolidated Statements'!AG87)</f>
        <v>0</v>
      </c>
    </row>
    <row r="19" spans="1:27">
      <c r="A19" s="103" t="s">
        <v>251</v>
      </c>
      <c r="B19" s="105">
        <f>B18+'Monster Consolidated Statements'!H100-'Monster Consolidated Statements'!H49-'Monster Consolidated Statements'!H50</f>
        <v>31890.642</v>
      </c>
      <c r="C19" s="105">
        <f>C18+'Monster Consolidated Statements'!I100-'Monster Consolidated Statements'!I49-'Monster Consolidated Statements'!I50</f>
        <v>31274.868999999999</v>
      </c>
      <c r="D19" s="105">
        <f>D18+'Monster Consolidated Statements'!J100-'Monster Consolidated Statements'!J49-'Monster Consolidated Statements'!J50</f>
        <v>31669.603999999999</v>
      </c>
      <c r="E19" s="105">
        <f>E18+'Monster Consolidated Statements'!K100-'Monster Consolidated Statements'!K49-'Monster Consolidated Statements'!K50</f>
        <v>34553.128000000004</v>
      </c>
      <c r="F19" s="105">
        <f>F18+'Monster Consolidated Statements'!L100-'Monster Consolidated Statements'!L49-'Monster Consolidated Statements'!L50</f>
        <v>38178.962</v>
      </c>
      <c r="G19" s="105">
        <f>G18+'Monster Consolidated Statements'!M100-'Monster Consolidated Statements'!M49-'Monster Consolidated Statements'!M50</f>
        <v>52519.394999999997</v>
      </c>
      <c r="H19" s="105">
        <f>H18+'Monster Consolidated Statements'!N100-'Monster Consolidated Statements'!N49-'Monster Consolidated Statements'!N50</f>
        <v>88591</v>
      </c>
      <c r="I19" s="105">
        <f>I18+'Monster Consolidated Statements'!O100-'Monster Consolidated Statements'!O49-'Monster Consolidated Statements'!O50</f>
        <v>347265</v>
      </c>
      <c r="J19" s="105">
        <f>J18+'Monster Consolidated Statements'!P100-'Monster Consolidated Statements'!P49-'Monster Consolidated Statements'!P50</f>
        <v>151329</v>
      </c>
      <c r="K19" s="105">
        <f>K18+'Monster Consolidated Statements'!Q100-'Monster Consolidated Statements'!Q49-'Monster Consolidated Statements'!Q50</f>
        <v>238323</v>
      </c>
      <c r="L19" s="105">
        <f>L18+'Monster Consolidated Statements'!R100-'Monster Consolidated Statements'!R49-'Monster Consolidated Statements'!R50</f>
        <v>229181</v>
      </c>
      <c r="M19" s="105">
        <f>M18+'Monster Consolidated Statements'!S100-'Monster Consolidated Statements'!S49-'Monster Consolidated Statements'!S50</f>
        <v>208545</v>
      </c>
      <c r="N19" s="105">
        <f>N18+'Monster Consolidated Statements'!T100-'Monster Consolidated Statements'!T49-'Monster Consolidated Statements'!T50</f>
        <v>324841</v>
      </c>
      <c r="O19" s="105">
        <f>O18+'Monster Consolidated Statements'!U100-'Monster Consolidated Statements'!U49-'Monster Consolidated Statements'!U50</f>
        <v>378683</v>
      </c>
      <c r="P19" s="105">
        <f>P18+'Monster Consolidated Statements'!V100-'Monster Consolidated Statements'!V49-'Monster Consolidated Statements'!V50</f>
        <v>363693</v>
      </c>
      <c r="Q19" s="105">
        <f>Q18+'Monster Consolidated Statements'!W100-'Monster Consolidated Statements'!W49-'Monster Consolidated Statements'!W50</f>
        <v>1889383</v>
      </c>
      <c r="R19" s="105">
        <f>R18+'Monster Consolidated Statements'!X100-'Monster Consolidated Statements'!X49-'Monster Consolidated Statements'!X50</f>
        <v>2731573</v>
      </c>
      <c r="S19" s="105">
        <f>S18+'Monster Consolidated Statements'!Y100-'Monster Consolidated Statements'!Y49-'Monster Consolidated Statements'!Y50</f>
        <v>2693657</v>
      </c>
      <c r="T19" s="105">
        <f>T18+'Monster Consolidated Statements'!Z100-'Monster Consolidated Statements'!Z49-'Monster Consolidated Statements'!Z50</f>
        <v>2652738</v>
      </c>
      <c r="U19" s="105">
        <f>U18+'Monster Consolidated Statements'!AA100-'Monster Consolidated Statements'!AA49-'Monster Consolidated Statements'!AA50</f>
        <v>2840261</v>
      </c>
      <c r="V19" s="105">
        <f>V18+'Monster Consolidated Statements'!AB100-'Monster Consolidated Statements'!AB49-'Monster Consolidated Statements'!AB50</f>
        <v>3099093</v>
      </c>
      <c r="W19" s="105">
        <f>W18+'Monster Consolidated Statements'!AC100-'Monster Consolidated Statements'!AC49-'Monster Consolidated Statements'!AC50</f>
        <v>3490762</v>
      </c>
      <c r="X19" s="105">
        <f>X18+'Monster Consolidated Statements'!AD100-'Monster Consolidated Statements'!AD49-'Monster Consolidated Statements'!AD50</f>
        <v>4355586</v>
      </c>
      <c r="Y19" s="105">
        <f>Y18+'Monster Consolidated Statements'!AE100-'Monster Consolidated Statements'!AE49-'Monster Consolidated Statements'!AE50</f>
        <v>4975464</v>
      </c>
      <c r="Z19" s="105">
        <f>Z18+'Monster Consolidated Statements'!AF100-'Monster Consolidated Statements'!AF49-'Monster Consolidated Statements'!AF50</f>
        <v>4798382</v>
      </c>
      <c r="AA19" s="105">
        <f>AA18+'Monster Consolidated Statements'!AG100-'Monster Consolidated Statements'!AG49-'Monster Consolidated Statements'!AG50</f>
        <v>5488907</v>
      </c>
    </row>
    <row r="20" spans="1:27">
      <c r="A20" s="103" t="s">
        <v>250</v>
      </c>
      <c r="B20" s="105">
        <f>AVERAGE(SUM('Monster Consolidated Statements'!G74,'Monster Consolidated Statements'!G83,'Monster Consolidated Statements'!G87)+'Monster Consolidated Statements'!G100-'Monster Consolidated Statements'!G49-'Monster Consolidated Statements'!G50,B19)</f>
        <v>25136.79</v>
      </c>
      <c r="C20" s="105">
        <f>AVERAGE(SUM('Monster Consolidated Statements'!H74,'Monster Consolidated Statements'!H83,'Monster Consolidated Statements'!H87)+'Monster Consolidated Statements'!H100-'Monster Consolidated Statements'!H49-'Monster Consolidated Statements'!H50,C19)</f>
        <v>31582.755499999999</v>
      </c>
      <c r="D20" s="105">
        <f>AVERAGE(SUM('Monster Consolidated Statements'!I74,'Monster Consolidated Statements'!I83,'Monster Consolidated Statements'!I87)+'Monster Consolidated Statements'!I100-'Monster Consolidated Statements'!I49-'Monster Consolidated Statements'!I50,D19)</f>
        <v>31472.236499999999</v>
      </c>
      <c r="E20" s="105">
        <f>AVERAGE(SUM('Monster Consolidated Statements'!J74,'Monster Consolidated Statements'!J83,'Monster Consolidated Statements'!J87)+'Monster Consolidated Statements'!J100-'Monster Consolidated Statements'!J49-'Monster Consolidated Statements'!J50,E19)</f>
        <v>33111.366000000002</v>
      </c>
      <c r="F20" s="105">
        <f>AVERAGE(SUM('Monster Consolidated Statements'!K74,'Monster Consolidated Statements'!K83,'Monster Consolidated Statements'!K87)+'Monster Consolidated Statements'!K100-'Monster Consolidated Statements'!K49-'Monster Consolidated Statements'!K50,F19)</f>
        <v>36366.044999999998</v>
      </c>
      <c r="G20" s="105">
        <f>AVERAGE(SUM('Monster Consolidated Statements'!L74,'Monster Consolidated Statements'!L83,'Monster Consolidated Statements'!L87)+'Monster Consolidated Statements'!L100-'Monster Consolidated Statements'!L49-'Monster Consolidated Statements'!L50,G19)</f>
        <v>45349.178499999995</v>
      </c>
      <c r="H20" s="105">
        <f>AVERAGE(SUM('Monster Consolidated Statements'!M74,'Monster Consolidated Statements'!M83,'Monster Consolidated Statements'!M87)+'Monster Consolidated Statements'!M100-'Monster Consolidated Statements'!M49-'Monster Consolidated Statements'!M50,H19)</f>
        <v>70555.197499999995</v>
      </c>
      <c r="I20" s="105">
        <f>AVERAGE(SUM('Monster Consolidated Statements'!N74,'Monster Consolidated Statements'!N83,'Monster Consolidated Statements'!N87)+'Monster Consolidated Statements'!N100-'Monster Consolidated Statements'!N49-'Monster Consolidated Statements'!N50,I19)</f>
        <v>217928</v>
      </c>
      <c r="J20" s="105">
        <f>AVERAGE(SUM('Monster Consolidated Statements'!O74,'Monster Consolidated Statements'!O83,'Monster Consolidated Statements'!O87)+'Monster Consolidated Statements'!O100-'Monster Consolidated Statements'!O49-'Monster Consolidated Statements'!O50,J19)</f>
        <v>249297</v>
      </c>
      <c r="K20" s="105">
        <f>AVERAGE(SUM('Monster Consolidated Statements'!P74,'Monster Consolidated Statements'!P83,'Monster Consolidated Statements'!P87)+'Monster Consolidated Statements'!P100-'Monster Consolidated Statements'!P49-'Monster Consolidated Statements'!P50,K19)</f>
        <v>194826</v>
      </c>
      <c r="L20" s="105">
        <f>AVERAGE(SUM('Monster Consolidated Statements'!Q74,'Monster Consolidated Statements'!Q83,'Monster Consolidated Statements'!Q87)+'Monster Consolidated Statements'!Q100-'Monster Consolidated Statements'!Q49-'Monster Consolidated Statements'!Q50,L19)</f>
        <v>233752</v>
      </c>
      <c r="M20" s="105">
        <f>AVERAGE(SUM('Monster Consolidated Statements'!R74,'Monster Consolidated Statements'!R83,'Monster Consolidated Statements'!R87)+'Monster Consolidated Statements'!R100-'Monster Consolidated Statements'!R49-'Monster Consolidated Statements'!R50,M19)</f>
        <v>218863</v>
      </c>
      <c r="N20" s="105">
        <f>AVERAGE(SUM('Monster Consolidated Statements'!S74,'Monster Consolidated Statements'!S83,'Monster Consolidated Statements'!S87)+'Monster Consolidated Statements'!S100-'Monster Consolidated Statements'!S49-'Monster Consolidated Statements'!S50,N19)</f>
        <v>266693</v>
      </c>
      <c r="O20" s="105">
        <f>AVERAGE(SUM('Monster Consolidated Statements'!T74,'Monster Consolidated Statements'!T83,'Monster Consolidated Statements'!T87)+'Monster Consolidated Statements'!T100-'Monster Consolidated Statements'!T49-'Monster Consolidated Statements'!T50,O19)</f>
        <v>351762</v>
      </c>
      <c r="P20" s="105">
        <f>AVERAGE(SUM('Monster Consolidated Statements'!U74,'Monster Consolidated Statements'!U83,'Monster Consolidated Statements'!U87)+'Monster Consolidated Statements'!U100-'Monster Consolidated Statements'!U49-'Monster Consolidated Statements'!U50,P19)</f>
        <v>371188</v>
      </c>
      <c r="Q20" s="105">
        <f>AVERAGE(SUM('Monster Consolidated Statements'!V74,'Monster Consolidated Statements'!V83,'Monster Consolidated Statements'!V87)+'Monster Consolidated Statements'!V100-'Monster Consolidated Statements'!V49-'Monster Consolidated Statements'!V50,Q19)</f>
        <v>1126538</v>
      </c>
      <c r="R20" s="105">
        <f>AVERAGE(SUM('Monster Consolidated Statements'!W74,'Monster Consolidated Statements'!W83,'Monster Consolidated Statements'!W87)+'Monster Consolidated Statements'!W100-'Monster Consolidated Statements'!W49-'Monster Consolidated Statements'!W50,R19)</f>
        <v>2310478</v>
      </c>
      <c r="S20" s="105">
        <f>AVERAGE(SUM('Monster Consolidated Statements'!X74,'Monster Consolidated Statements'!X83,'Monster Consolidated Statements'!X87)+'Monster Consolidated Statements'!X100-'Monster Consolidated Statements'!X49-'Monster Consolidated Statements'!X50,S19)</f>
        <v>2712615</v>
      </c>
      <c r="T20" s="105">
        <f>AVERAGE(SUM('Monster Consolidated Statements'!Y74,'Monster Consolidated Statements'!Y83,'Monster Consolidated Statements'!Y87)+'Monster Consolidated Statements'!Y100-'Monster Consolidated Statements'!Y49-'Monster Consolidated Statements'!Y50,T19)</f>
        <v>2673197.5</v>
      </c>
      <c r="U20" s="105">
        <f>AVERAGE(SUM('Monster Consolidated Statements'!Z74,'Monster Consolidated Statements'!Z83,'Monster Consolidated Statements'!Z87)+'Monster Consolidated Statements'!Z100-'Monster Consolidated Statements'!Z49-'Monster Consolidated Statements'!Z50,U19)</f>
        <v>2746499.5</v>
      </c>
      <c r="V20" s="105">
        <f>AVERAGE(SUM('Monster Consolidated Statements'!AA74,'Monster Consolidated Statements'!AA83,'Monster Consolidated Statements'!AA87)+'Monster Consolidated Statements'!AA100-'Monster Consolidated Statements'!AA49-'Monster Consolidated Statements'!AA50,V19)</f>
        <v>2969677</v>
      </c>
      <c r="W20" s="105">
        <f>AVERAGE(SUM('Monster Consolidated Statements'!AB74,'Monster Consolidated Statements'!AB83,'Monster Consolidated Statements'!AB87)+'Monster Consolidated Statements'!AB100-'Monster Consolidated Statements'!AB49-'Monster Consolidated Statements'!AB50,W19)</f>
        <v>3294927.5</v>
      </c>
      <c r="X20" s="105">
        <f>AVERAGE(SUM('Monster Consolidated Statements'!AC74,'Monster Consolidated Statements'!AC83,'Monster Consolidated Statements'!AC87)+'Monster Consolidated Statements'!AC100-'Monster Consolidated Statements'!AC49-'Monster Consolidated Statements'!AC50,X19)</f>
        <v>3923174</v>
      </c>
      <c r="Y20" s="105">
        <f>AVERAGE(SUM('Monster Consolidated Statements'!AD74,'Monster Consolidated Statements'!AD83,'Monster Consolidated Statements'!AD87)+'Monster Consolidated Statements'!AD100-'Monster Consolidated Statements'!AD49-'Monster Consolidated Statements'!AD50,Y19)</f>
        <v>4665525</v>
      </c>
      <c r="Z20" s="105">
        <f>AVERAGE(SUM('Monster Consolidated Statements'!AE74,'Monster Consolidated Statements'!AE83,'Monster Consolidated Statements'!AE87)+'Monster Consolidated Statements'!AE100-'Monster Consolidated Statements'!AE49-'Monster Consolidated Statements'!AE50,Z19)</f>
        <v>4886923</v>
      </c>
      <c r="AA20" s="105">
        <f>AVERAGE(SUM('Monster Consolidated Statements'!AF74,'Monster Consolidated Statements'!AF83,'Monster Consolidated Statements'!AF87)+'Monster Consolidated Statements'!AF100-'Monster Consolidated Statements'!AF49-'Monster Consolidated Statements'!AF50,AA19)</f>
        <v>5143644.5</v>
      </c>
    </row>
    <row r="21" spans="1:27">
      <c r="A21" s="101" t="s">
        <v>249</v>
      </c>
      <c r="B21" s="100">
        <f t="shared" ref="B21:AA21" si="6">IFERROR(B17/B20,0)</f>
        <v>0.16412106276659047</v>
      </c>
      <c r="C21" s="100">
        <f t="shared" si="6"/>
        <v>0.10520297442604772</v>
      </c>
      <c r="D21" s="100">
        <f t="shared" si="6"/>
        <v>0.10049689887567033</v>
      </c>
      <c r="E21" s="100">
        <f t="shared" si="6"/>
        <v>0.18043879774907409</v>
      </c>
      <c r="F21" s="100">
        <f t="shared" si="6"/>
        <v>0.56129500427066548</v>
      </c>
      <c r="G21" s="100">
        <f t="shared" si="6"/>
        <v>1.4265054136644593</v>
      </c>
      <c r="H21" s="100">
        <f t="shared" si="6"/>
        <v>1.3569423865828227</v>
      </c>
      <c r="I21" s="100">
        <f t="shared" si="6"/>
        <v>0.66049750176460709</v>
      </c>
      <c r="J21" s="100">
        <f t="shared" si="6"/>
        <v>0.39369105925863535</v>
      </c>
      <c r="K21" s="100">
        <f t="shared" si="6"/>
        <v>1.0795787009947337</v>
      </c>
      <c r="L21" s="100">
        <f t="shared" si="6"/>
        <v>0.90070245388274739</v>
      </c>
      <c r="M21" s="100">
        <f t="shared" si="6"/>
        <v>1.3038841649799189</v>
      </c>
      <c r="N21" s="100">
        <f t="shared" si="6"/>
        <v>1.2804573048411467</v>
      </c>
      <c r="O21" s="100">
        <f t="shared" si="6"/>
        <v>0.98840409140270979</v>
      </c>
      <c r="P21" s="100">
        <f t="shared" si="6"/>
        <v>1.3063514984320614</v>
      </c>
      <c r="Q21" s="100">
        <f t="shared" si="6"/>
        <v>0.34473447762188381</v>
      </c>
      <c r="R21" s="100">
        <f t="shared" si="6"/>
        <v>0.31172753890608373</v>
      </c>
      <c r="S21" s="100">
        <f t="shared" si="6"/>
        <v>0.30116277169314803</v>
      </c>
      <c r="T21" s="100">
        <f t="shared" si="6"/>
        <v>0.36700461965221887</v>
      </c>
      <c r="U21" s="100">
        <f t="shared" si="6"/>
        <v>0.39756969324696806</v>
      </c>
      <c r="V21" s="100">
        <f t="shared" si="6"/>
        <v>0.47732926582268059</v>
      </c>
      <c r="W21" s="100">
        <f t="shared" si="6"/>
        <v>0.41657634100636942</v>
      </c>
      <c r="X21" s="100">
        <f t="shared" si="6"/>
        <v>0.30776567286701412</v>
      </c>
      <c r="Y21" s="100">
        <f t="shared" si="6"/>
        <v>0.31903398675422184</v>
      </c>
      <c r="Z21" s="100">
        <f t="shared" si="6"/>
        <v>0.29357786680760928</v>
      </c>
      <c r="AA21" s="100">
        <f t="shared" si="6"/>
        <v>0.35515354896633822</v>
      </c>
    </row>
    <row r="22" spans="1:27">
      <c r="A22" s="101" t="s">
        <v>248</v>
      </c>
      <c r="B22" s="100">
        <f>IFERROR((B17-('Monster Consolidated Statements'!G23*(1-IFERROR('Monster Consolidated Statements'!G32/'Monster Consolidated Statements'!G29,0))))/(B19-(SUM('Monster Consolidated Statements'!G74,'Monster Consolidated Statements'!G83,'Monster Consolidated Statements'!G87)+'Monster Consolidated Statements'!G100-'Monster Consolidated Statements'!G49-'Monster Consolidated Statements'!G50)),0)</f>
        <v>-2.1131345814999022E-2</v>
      </c>
      <c r="C22" s="100">
        <f t="shared" ref="C22:AA22" si="7">IFERROR((C17-B17)/(C19-B19),0)</f>
        <v>1.3038520204198383</v>
      </c>
      <c r="D22" s="100">
        <f t="shared" si="7"/>
        <v>-0.40467060240145108</v>
      </c>
      <c r="E22" s="100">
        <f t="shared" si="7"/>
        <v>0.97509606437743646</v>
      </c>
      <c r="F22" s="100">
        <f t="shared" si="7"/>
        <v>3.9818437111882847</v>
      </c>
      <c r="G22" s="100">
        <f t="shared" si="7"/>
        <v>3.0876870490524029</v>
      </c>
      <c r="H22" s="100">
        <f t="shared" si="7"/>
        <v>0.86074599247764294</v>
      </c>
      <c r="I22" s="100">
        <f t="shared" si="7"/>
        <v>0.18634095998471006</v>
      </c>
      <c r="J22" s="100">
        <f t="shared" si="7"/>
        <v>0.23372376472193618</v>
      </c>
      <c r="K22" s="100">
        <f t="shared" si="7"/>
        <v>1.289560199553992</v>
      </c>
      <c r="L22" s="100">
        <f t="shared" si="7"/>
        <v>-2.3080288777069666E-2</v>
      </c>
      <c r="M22" s="100">
        <f t="shared" si="7"/>
        <v>-3.6262357045939151</v>
      </c>
      <c r="N22" s="100">
        <f t="shared" si="7"/>
        <v>0.48253594276673267</v>
      </c>
      <c r="O22" s="100">
        <f t="shared" si="7"/>
        <v>0.11504030310909807</v>
      </c>
      <c r="P22" s="100">
        <f t="shared" si="7"/>
        <v>-9.1540360240160101</v>
      </c>
      <c r="Q22" s="100">
        <f t="shared" si="7"/>
        <v>-6.3279900273842185E-2</v>
      </c>
      <c r="R22" s="100">
        <f t="shared" si="7"/>
        <v>0.39407156542519961</v>
      </c>
      <c r="S22" s="100">
        <f t="shared" si="7"/>
        <v>-2.5503489634918801</v>
      </c>
      <c r="T22" s="100">
        <f t="shared" si="7"/>
        <v>-4.0112705541766331</v>
      </c>
      <c r="U22" s="100">
        <f t="shared" si="7"/>
        <v>0.59112285946357968</v>
      </c>
      <c r="V22" s="100">
        <f t="shared" si="7"/>
        <v>1.2579154757624613</v>
      </c>
      <c r="W22" s="100">
        <f t="shared" si="7"/>
        <v>-0.11470118980372777</v>
      </c>
      <c r="X22" s="100">
        <f t="shared" si="7"/>
        <v>-0.19098747947199557</v>
      </c>
      <c r="Y22" s="100">
        <f t="shared" si="7"/>
        <v>0.45338398066573699</v>
      </c>
      <c r="Z22" s="100">
        <f t="shared" si="7"/>
        <v>0.30363679797183485</v>
      </c>
      <c r="AA22" s="100">
        <f t="shared" si="7"/>
        <v>0.56781603736742881</v>
      </c>
    </row>
    <row r="23" spans="1:27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1:27">
      <c r="A24" s="106" t="s">
        <v>247</v>
      </c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spans="1:27">
      <c r="A25" s="103" t="s">
        <v>208</v>
      </c>
      <c r="B25" s="105">
        <f>'Monster Consolidated Statements'!H135</f>
        <v>-1122.8399999999992</v>
      </c>
      <c r="C25" s="105">
        <f>'Monster Consolidated Statements'!I135</f>
        <v>5202.7060000000001</v>
      </c>
      <c r="D25" s="105">
        <f>'Monster Consolidated Statements'!J135</f>
        <v>2726.6690000000003</v>
      </c>
      <c r="E25" s="105">
        <f>'Monster Consolidated Statements'!K135</f>
        <v>5484.4140000000016</v>
      </c>
      <c r="F25" s="105">
        <f>'Monster Consolidated Statements'!L135</f>
        <v>20050.517</v>
      </c>
      <c r="G25" s="105">
        <f>'Monster Consolidated Statements'!M135</f>
        <v>54649.436000000002</v>
      </c>
      <c r="H25" s="105">
        <f>'Monster Consolidated Statements'!N135</f>
        <v>76414</v>
      </c>
      <c r="I25" s="105">
        <f>'Monster Consolidated Statements'!O135</f>
        <v>135451</v>
      </c>
      <c r="J25" s="105">
        <f>'Monster Consolidated Statements'!P135</f>
        <v>199496</v>
      </c>
      <c r="K25" s="105">
        <f>'Monster Consolidated Statements'!Q135</f>
        <v>156192</v>
      </c>
      <c r="L25" s="105">
        <f>'Monster Consolidated Statements'!R135</f>
        <v>229044</v>
      </c>
      <c r="M25" s="105">
        <f>'Monster Consolidated Statements'!S135</f>
        <v>333827</v>
      </c>
      <c r="N25" s="105">
        <f>'Monster Consolidated Statements'!T135</f>
        <v>287677</v>
      </c>
      <c r="O25" s="105">
        <f>'Monster Consolidated Statements'!U135</f>
        <v>342033</v>
      </c>
      <c r="P25" s="105">
        <f>'Monster Consolidated Statements'!V135</f>
        <v>585567</v>
      </c>
      <c r="Q25" s="105">
        <f>'Monster Consolidated Statements'!W135</f>
        <v>207986</v>
      </c>
      <c r="R25" s="105">
        <f>'Monster Consolidated Statements'!X135</f>
        <v>701355</v>
      </c>
      <c r="S25" s="105">
        <f>'Monster Consolidated Statements'!Y135</f>
        <v>987731</v>
      </c>
      <c r="T25" s="105">
        <f>'Monster Consolidated Statements'!Z135</f>
        <v>1161881</v>
      </c>
      <c r="U25" s="105">
        <f>'Monster Consolidated Statements'!AA135</f>
        <v>1113483</v>
      </c>
      <c r="V25" s="105">
        <f>'Monster Consolidated Statements'!AB135</f>
        <v>1364163</v>
      </c>
      <c r="W25" s="105">
        <f>'Monster Consolidated Statements'!AC135</f>
        <v>1155741</v>
      </c>
      <c r="X25" s="105">
        <f>'Monster Consolidated Statements'!AD135</f>
        <v>887699</v>
      </c>
      <c r="Y25" s="105">
        <f>'Monster Consolidated Statements'!AE135</f>
        <v>1717753</v>
      </c>
      <c r="Z25" s="105">
        <f>'Monster Consolidated Statements'!AF135</f>
        <v>1928533</v>
      </c>
      <c r="AA25" s="105">
        <f>'Monster Consolidated Statements'!AG135</f>
        <v>2098177</v>
      </c>
    </row>
    <row r="26" spans="1:27">
      <c r="A26" s="103" t="s">
        <v>246</v>
      </c>
      <c r="B26" s="105">
        <f>-'Monster Consolidated Statements'!H149</f>
        <v>1191.7619999999999</v>
      </c>
      <c r="C26" s="105">
        <f>-'Monster Consolidated Statements'!I149</f>
        <v>529.90499999999997</v>
      </c>
      <c r="D26" s="105">
        <f>-'Monster Consolidated Statements'!J149</f>
        <v>416.87299999999999</v>
      </c>
      <c r="E26" s="105">
        <f>-'Monster Consolidated Statements'!K149</f>
        <v>1627.49</v>
      </c>
      <c r="F26" s="105">
        <f>-'Monster Consolidated Statements'!L149</f>
        <v>1260.068</v>
      </c>
      <c r="G26" s="105">
        <f>-'Monster Consolidated Statements'!M149</f>
        <v>1519.76</v>
      </c>
      <c r="H26" s="105">
        <f>-'Monster Consolidated Statements'!N149</f>
        <v>2746</v>
      </c>
      <c r="I26" s="105">
        <f>-'Monster Consolidated Statements'!O149</f>
        <v>4108</v>
      </c>
      <c r="J26" s="105">
        <f>-'Monster Consolidated Statements'!P149</f>
        <v>6718</v>
      </c>
      <c r="K26" s="105">
        <f>-'Monster Consolidated Statements'!Q149</f>
        <v>23554</v>
      </c>
      <c r="L26" s="105">
        <f>-'Monster Consolidated Statements'!R149</f>
        <v>12545</v>
      </c>
      <c r="M26" s="105">
        <f>-'Monster Consolidated Statements'!S149</f>
        <v>25552</v>
      </c>
      <c r="N26" s="105">
        <f>-'Monster Consolidated Statements'!T149</f>
        <v>42935</v>
      </c>
      <c r="O26" s="105">
        <f>-'Monster Consolidated Statements'!U149</f>
        <v>40762</v>
      </c>
      <c r="P26" s="105">
        <f>-'Monster Consolidated Statements'!V149</f>
        <v>27952</v>
      </c>
      <c r="Q26" s="105">
        <f>-'Monster Consolidated Statements'!W149</f>
        <v>35605</v>
      </c>
      <c r="R26" s="105">
        <f>-'Monster Consolidated Statements'!X149</f>
        <v>99819</v>
      </c>
      <c r="S26" s="105">
        <f>-'Monster Consolidated Statements'!Y149</f>
        <v>83435</v>
      </c>
      <c r="T26" s="105">
        <f>-'Monster Consolidated Statements'!Z149</f>
        <v>61941</v>
      </c>
      <c r="U26" s="105">
        <f>-'Monster Consolidated Statements'!AA149</f>
        <v>101661</v>
      </c>
      <c r="V26" s="105">
        <f>-'Monster Consolidated Statements'!AB149</f>
        <v>48722</v>
      </c>
      <c r="W26" s="105">
        <f>-'Monster Consolidated Statements'!AC149</f>
        <v>43868</v>
      </c>
      <c r="X26" s="105">
        <f>-'Monster Consolidated Statements'!AD149</f>
        <v>188726</v>
      </c>
      <c r="Y26" s="105">
        <f>-'Monster Consolidated Statements'!AE149</f>
        <v>221428</v>
      </c>
      <c r="Z26" s="105">
        <f>-'Monster Consolidated Statements'!AF149</f>
        <v>264074</v>
      </c>
      <c r="AA26" s="105">
        <f>-'Monster Consolidated Statements'!AG149</f>
        <v>132275</v>
      </c>
    </row>
    <row r="27" spans="1:27">
      <c r="A27" s="103" t="s">
        <v>245</v>
      </c>
      <c r="B27" s="105">
        <f>-'Monster Consolidated Statements'!H150</f>
        <v>6490.4939999999997</v>
      </c>
      <c r="C27" s="105">
        <f>-'Monster Consolidated Statements'!I150</f>
        <v>118.651</v>
      </c>
      <c r="D27" s="105">
        <f>-'Monster Consolidated Statements'!J150</f>
        <v>64.792000000000002</v>
      </c>
      <c r="E27" s="105">
        <f>-'Monster Consolidated Statements'!K150</f>
        <v>995.13699999999994</v>
      </c>
      <c r="F27" s="105">
        <f>-'Monster Consolidated Statements'!L150</f>
        <v>131.14599999999999</v>
      </c>
      <c r="G27" s="105">
        <f>-'Monster Consolidated Statements'!M150</f>
        <v>821.34699999999998</v>
      </c>
      <c r="H27" s="105">
        <f>-'Monster Consolidated Statements'!N150</f>
        <v>2155</v>
      </c>
      <c r="I27" s="105">
        <f>-'Monster Consolidated Statements'!O150</f>
        <v>2920</v>
      </c>
      <c r="J27" s="105">
        <f>-'Monster Consolidated Statements'!P150</f>
        <v>4354</v>
      </c>
      <c r="K27" s="105">
        <f>-'Monster Consolidated Statements'!Q150</f>
        <v>5215</v>
      </c>
      <c r="L27" s="105">
        <f>-'Monster Consolidated Statements'!R150</f>
        <v>9852</v>
      </c>
      <c r="M27" s="105">
        <f>-'Monster Consolidated Statements'!S150</f>
        <v>5132</v>
      </c>
      <c r="N27" s="105">
        <f>-'Monster Consolidated Statements'!T150</f>
        <v>6301</v>
      </c>
      <c r="O27" s="105">
        <f>-'Monster Consolidated Statements'!U150</f>
        <v>11175</v>
      </c>
      <c r="P27" s="105">
        <f>-'Monster Consolidated Statements'!V150</f>
        <v>3411</v>
      </c>
      <c r="Q27" s="105">
        <f>-'Monster Consolidated Statements'!W150</f>
        <v>6888</v>
      </c>
      <c r="R27" s="105">
        <f>-'Monster Consolidated Statements'!X150</f>
        <v>5518</v>
      </c>
      <c r="S27" s="105">
        <f>-'Monster Consolidated Statements'!Y150</f>
        <v>9693</v>
      </c>
      <c r="T27" s="105">
        <f>-'Monster Consolidated Statements'!Z150</f>
        <v>12984</v>
      </c>
      <c r="U27" s="105">
        <f>-'Monster Consolidated Statements'!AA150</f>
        <v>8737</v>
      </c>
      <c r="V27" s="105">
        <f>-'Monster Consolidated Statements'!AB150</f>
        <v>18550</v>
      </c>
      <c r="W27" s="105">
        <f>-'Monster Consolidated Statements'!AC150</f>
        <v>13585</v>
      </c>
      <c r="X27" s="105">
        <f>-'Monster Consolidated Statements'!AD150</f>
        <v>23427</v>
      </c>
      <c r="Y27" s="105">
        <f>-'Monster Consolidated Statements'!AE150</f>
        <v>13296</v>
      </c>
      <c r="Z27" s="105">
        <f>-'Monster Consolidated Statements'!AF150</f>
        <v>42360</v>
      </c>
      <c r="AA27" s="105">
        <f>-'Monster Consolidated Statements'!AG150</f>
        <v>25254</v>
      </c>
    </row>
    <row r="28" spans="1:27">
      <c r="A28" s="101" t="s">
        <v>206</v>
      </c>
      <c r="B28" s="112">
        <f t="shared" ref="B28:AA28" si="8">B25-B26-B27</f>
        <v>-8805.0959999999977</v>
      </c>
      <c r="C28" s="112">
        <f t="shared" si="8"/>
        <v>4554.1500000000005</v>
      </c>
      <c r="D28" s="112">
        <f t="shared" si="8"/>
        <v>2245.0040000000004</v>
      </c>
      <c r="E28" s="112">
        <f t="shared" si="8"/>
        <v>2861.7870000000021</v>
      </c>
      <c r="F28" s="112">
        <f t="shared" si="8"/>
        <v>18659.303</v>
      </c>
      <c r="G28" s="112">
        <f t="shared" si="8"/>
        <v>52308.328999999998</v>
      </c>
      <c r="H28" s="112">
        <f t="shared" si="8"/>
        <v>71513</v>
      </c>
      <c r="I28" s="112">
        <f t="shared" si="8"/>
        <v>128423</v>
      </c>
      <c r="J28" s="112">
        <f t="shared" si="8"/>
        <v>188424</v>
      </c>
      <c r="K28" s="112">
        <f t="shared" si="8"/>
        <v>127423</v>
      </c>
      <c r="L28" s="112">
        <f t="shared" si="8"/>
        <v>206647</v>
      </c>
      <c r="M28" s="112">
        <f t="shared" si="8"/>
        <v>303143</v>
      </c>
      <c r="N28" s="112">
        <f t="shared" si="8"/>
        <v>238441</v>
      </c>
      <c r="O28" s="112">
        <f t="shared" si="8"/>
        <v>290096</v>
      </c>
      <c r="P28" s="112">
        <f t="shared" si="8"/>
        <v>554204</v>
      </c>
      <c r="Q28" s="112">
        <f t="shared" si="8"/>
        <v>165493</v>
      </c>
      <c r="R28" s="112">
        <f t="shared" si="8"/>
        <v>596018</v>
      </c>
      <c r="S28" s="112">
        <f t="shared" si="8"/>
        <v>894603</v>
      </c>
      <c r="T28" s="112">
        <f t="shared" si="8"/>
        <v>1086956</v>
      </c>
      <c r="U28" s="112">
        <f t="shared" si="8"/>
        <v>1003085</v>
      </c>
      <c r="V28" s="112">
        <f t="shared" si="8"/>
        <v>1296891</v>
      </c>
      <c r="W28" s="112">
        <f t="shared" si="8"/>
        <v>1098288</v>
      </c>
      <c r="X28" s="112">
        <f t="shared" si="8"/>
        <v>675546</v>
      </c>
      <c r="Y28" s="112">
        <f t="shared" si="8"/>
        <v>1483029</v>
      </c>
      <c r="Z28" s="112">
        <f t="shared" si="8"/>
        <v>1622099</v>
      </c>
      <c r="AA28" s="112">
        <f t="shared" si="8"/>
        <v>1940648</v>
      </c>
    </row>
    <row r="29" spans="1:27">
      <c r="A29" s="103" t="s">
        <v>244</v>
      </c>
      <c r="B29" s="105">
        <f>-SUM('Monster Consolidated Statements'!H142,'Monster Consolidated Statements'!H147,'Monster Consolidated Statements'!H148)</f>
        <v>0</v>
      </c>
      <c r="C29" s="105">
        <f>-SUM('Monster Consolidated Statements'!I142,'Monster Consolidated Statements'!I147,'Monster Consolidated Statements'!I148)</f>
        <v>0</v>
      </c>
      <c r="D29" s="105">
        <f>-SUM('Monster Consolidated Statements'!J142,'Monster Consolidated Statements'!J147,'Monster Consolidated Statements'!J148)</f>
        <v>0</v>
      </c>
      <c r="E29" s="105">
        <f>-SUM('Monster Consolidated Statements'!K142,'Monster Consolidated Statements'!K147,'Monster Consolidated Statements'!K148)</f>
        <v>0</v>
      </c>
      <c r="F29" s="105">
        <f>-SUM('Monster Consolidated Statements'!L142,'Monster Consolidated Statements'!L147,'Monster Consolidated Statements'!L148)</f>
        <v>0</v>
      </c>
      <c r="G29" s="105">
        <f>-SUM('Monster Consolidated Statements'!M142,'Monster Consolidated Statements'!M147,'Monster Consolidated Statements'!M148)</f>
        <v>0</v>
      </c>
      <c r="H29" s="105">
        <f>-SUM('Monster Consolidated Statements'!N142,'Monster Consolidated Statements'!N147,'Monster Consolidated Statements'!N148)</f>
        <v>0</v>
      </c>
      <c r="I29" s="105">
        <f>-SUM('Monster Consolidated Statements'!O142,'Monster Consolidated Statements'!O147,'Monster Consolidated Statements'!O148)</f>
        <v>0</v>
      </c>
      <c r="J29" s="105">
        <f>-SUM('Monster Consolidated Statements'!P142,'Monster Consolidated Statements'!P147,'Monster Consolidated Statements'!P148)</f>
        <v>0</v>
      </c>
      <c r="K29" s="105">
        <f>-SUM('Monster Consolidated Statements'!Q142,'Monster Consolidated Statements'!Q147,'Monster Consolidated Statements'!Q148)</f>
        <v>0</v>
      </c>
      <c r="L29" s="105">
        <f>-SUM('Monster Consolidated Statements'!R142,'Monster Consolidated Statements'!R147,'Monster Consolidated Statements'!R148)</f>
        <v>0</v>
      </c>
      <c r="M29" s="105">
        <f>-SUM('Monster Consolidated Statements'!S142,'Monster Consolidated Statements'!S147,'Monster Consolidated Statements'!S148)</f>
        <v>0</v>
      </c>
      <c r="N29" s="105">
        <f>-SUM('Monster Consolidated Statements'!T142,'Monster Consolidated Statements'!T147,'Monster Consolidated Statements'!T148)</f>
        <v>0</v>
      </c>
      <c r="O29" s="105">
        <f>-SUM('Monster Consolidated Statements'!U142,'Monster Consolidated Statements'!U147,'Monster Consolidated Statements'!U148)</f>
        <v>0</v>
      </c>
      <c r="P29" s="105">
        <f>-SUM('Monster Consolidated Statements'!V142,'Monster Consolidated Statements'!V147,'Monster Consolidated Statements'!V148)</f>
        <v>0</v>
      </c>
      <c r="Q29" s="105">
        <f>-SUM('Monster Consolidated Statements'!W142,'Monster Consolidated Statements'!W147,'Monster Consolidated Statements'!W148)</f>
        <v>0</v>
      </c>
      <c r="R29" s="105">
        <f>-SUM('Monster Consolidated Statements'!X142,'Monster Consolidated Statements'!X147,'Monster Consolidated Statements'!X148)</f>
        <v>688485</v>
      </c>
      <c r="S29" s="105">
        <f>-SUM('Monster Consolidated Statements'!Y142,'Monster Consolidated Statements'!Y147,'Monster Consolidated Statements'!Y148)</f>
        <v>0</v>
      </c>
      <c r="T29" s="105">
        <f>-SUM('Monster Consolidated Statements'!Z142,'Monster Consolidated Statements'!Z147,'Monster Consolidated Statements'!Z148)</f>
        <v>0</v>
      </c>
      <c r="U29" s="105">
        <f>-SUM('Monster Consolidated Statements'!AA142,'Monster Consolidated Statements'!AA147,'Monster Consolidated Statements'!AA148)</f>
        <v>0</v>
      </c>
      <c r="V29" s="105">
        <f>-SUM('Monster Consolidated Statements'!AB142,'Monster Consolidated Statements'!AB147,'Monster Consolidated Statements'!AB148)</f>
        <v>0</v>
      </c>
      <c r="W29" s="105">
        <f>-SUM('Monster Consolidated Statements'!AC142,'Monster Consolidated Statements'!AC147,'Monster Consolidated Statements'!AC148)</f>
        <v>0</v>
      </c>
      <c r="X29" s="105">
        <f>-SUM('Monster Consolidated Statements'!AD142,'Monster Consolidated Statements'!AD147,'Monster Consolidated Statements'!AD148)</f>
        <v>329472</v>
      </c>
      <c r="Y29" s="105">
        <f>-SUM('Monster Consolidated Statements'!AE142,'Monster Consolidated Statements'!AE147,'Monster Consolidated Statements'!AE148)</f>
        <v>363385</v>
      </c>
      <c r="Z29" s="105">
        <f>-SUM('Monster Consolidated Statements'!AF142,'Monster Consolidated Statements'!AF147,'Monster Consolidated Statements'!AF148)</f>
        <v>0</v>
      </c>
      <c r="AA29" s="105">
        <f>-SUM('Monster Consolidated Statements'!AG142,'Monster Consolidated Statements'!AG147,'Monster Consolidated Statements'!AG148)</f>
        <v>0</v>
      </c>
    </row>
    <row r="30" spans="1:27">
      <c r="A30" s="103" t="s">
        <v>243</v>
      </c>
      <c r="B30" s="105">
        <f>-'Monster Consolidated Statements'!H163</f>
        <v>814.54499999999996</v>
      </c>
      <c r="C30" s="105">
        <f>-'Monster Consolidated Statements'!I163</f>
        <v>0</v>
      </c>
      <c r="D30" s="105">
        <f>-'Monster Consolidated Statements'!J163</f>
        <v>0</v>
      </c>
      <c r="E30" s="105">
        <f>-'Monster Consolidated Statements'!K163</f>
        <v>-748.43</v>
      </c>
      <c r="F30" s="105">
        <f>-'Monster Consolidated Statements'!L163</f>
        <v>-1719.9280000000001</v>
      </c>
      <c r="G30" s="105">
        <f>-'Monster Consolidated Statements'!M163</f>
        <v>-1167.76</v>
      </c>
      <c r="H30" s="105">
        <f>-'Monster Consolidated Statements'!N163</f>
        <v>27699</v>
      </c>
      <c r="I30" s="105">
        <f>-'Monster Consolidated Statements'!O163</f>
        <v>148</v>
      </c>
      <c r="J30" s="105">
        <f>-'Monster Consolidated Statements'!P163</f>
        <v>103467</v>
      </c>
      <c r="K30" s="105">
        <f>-'Monster Consolidated Statements'!Q163</f>
        <v>86173</v>
      </c>
      <c r="L30" s="105">
        <f>-'Monster Consolidated Statements'!R163</f>
        <v>23540</v>
      </c>
      <c r="M30" s="105">
        <f>-'Monster Consolidated Statements'!S163</f>
        <v>176392</v>
      </c>
      <c r="N30" s="105">
        <f>-'Monster Consolidated Statements'!T163</f>
        <v>727670</v>
      </c>
      <c r="O30" s="105">
        <f>-'Monster Consolidated Statements'!U163</f>
        <v>67599</v>
      </c>
      <c r="P30" s="105">
        <f>-'Monster Consolidated Statements'!V163</f>
        <v>8175</v>
      </c>
      <c r="Q30" s="105">
        <f>-'Monster Consolidated Statements'!W163</f>
        <v>807967</v>
      </c>
      <c r="R30" s="105">
        <f>-'Monster Consolidated Statements'!X163</f>
        <v>2252437</v>
      </c>
      <c r="S30" s="105">
        <f>-'Monster Consolidated Statements'!Y163</f>
        <v>361178</v>
      </c>
      <c r="T30" s="105">
        <f>-'Monster Consolidated Statements'!Z163</f>
        <v>1342076</v>
      </c>
      <c r="U30" s="105">
        <f>-'Monster Consolidated Statements'!AA163</f>
        <v>707300</v>
      </c>
      <c r="V30" s="105">
        <f>-'Monster Consolidated Statements'!AB163</f>
        <v>595918</v>
      </c>
      <c r="W30" s="105">
        <f>-'Monster Consolidated Statements'!AC163</f>
        <v>13830</v>
      </c>
      <c r="X30" s="105">
        <f>-'Monster Consolidated Statements'!AD163</f>
        <v>771028</v>
      </c>
      <c r="Y30" s="105">
        <f>-'Monster Consolidated Statements'!AE163</f>
        <v>658952</v>
      </c>
      <c r="Z30" s="105">
        <f>-'Monster Consolidated Statements'!AF163</f>
        <v>3771875</v>
      </c>
      <c r="AA30" s="105">
        <f>-'Monster Consolidated Statements'!AG163</f>
        <v>103646</v>
      </c>
    </row>
    <row r="31" spans="1:27">
      <c r="A31" s="101" t="s">
        <v>242</v>
      </c>
      <c r="B31" s="100">
        <f t="shared" ref="B31:AA31" si="9">IFERROR(B30/B28,0)</f>
        <v>-9.2508361067272879E-2</v>
      </c>
      <c r="C31" s="100">
        <f t="shared" si="9"/>
        <v>0</v>
      </c>
      <c r="D31" s="100">
        <f t="shared" si="9"/>
        <v>0</v>
      </c>
      <c r="E31" s="100">
        <f t="shared" si="9"/>
        <v>-0.26152540353282738</v>
      </c>
      <c r="F31" s="100">
        <f t="shared" si="9"/>
        <v>-9.2175361534136621E-2</v>
      </c>
      <c r="G31" s="100">
        <f t="shared" si="9"/>
        <v>-2.2324551793654123E-2</v>
      </c>
      <c r="H31" s="100">
        <f t="shared" si="9"/>
        <v>0.38732817809349351</v>
      </c>
      <c r="I31" s="100">
        <f t="shared" si="9"/>
        <v>1.1524415408454872E-3</v>
      </c>
      <c r="J31" s="100">
        <f t="shared" si="9"/>
        <v>0.54911794675837478</v>
      </c>
      <c r="K31" s="100">
        <f t="shared" si="9"/>
        <v>0.67627508377608436</v>
      </c>
      <c r="L31" s="100">
        <f t="shared" si="9"/>
        <v>0.11391406601595959</v>
      </c>
      <c r="M31" s="100">
        <f t="shared" si="9"/>
        <v>0.58187719986936859</v>
      </c>
      <c r="N31" s="100">
        <f t="shared" si="9"/>
        <v>3.0517822018864207</v>
      </c>
      <c r="O31" s="100">
        <f t="shared" si="9"/>
        <v>0.23302286139760631</v>
      </c>
      <c r="P31" s="100">
        <f t="shared" si="9"/>
        <v>1.4750885955352181E-2</v>
      </c>
      <c r="Q31" s="100">
        <f t="shared" si="9"/>
        <v>4.8821823279534478</v>
      </c>
      <c r="R31" s="100">
        <f t="shared" si="9"/>
        <v>3.7791425762309192</v>
      </c>
      <c r="S31" s="100">
        <f t="shared" si="9"/>
        <v>0.40372992265843061</v>
      </c>
      <c r="T31" s="100">
        <f t="shared" si="9"/>
        <v>1.234710512661046</v>
      </c>
      <c r="U31" s="100">
        <f t="shared" si="9"/>
        <v>0.70512469033033098</v>
      </c>
      <c r="V31" s="100">
        <f t="shared" si="9"/>
        <v>0.45949736716501233</v>
      </c>
      <c r="W31" s="100">
        <f t="shared" si="9"/>
        <v>1.2592325510248678E-2</v>
      </c>
      <c r="X31" s="100">
        <f t="shared" si="9"/>
        <v>1.1413404860660858</v>
      </c>
      <c r="Y31" s="100">
        <f t="shared" si="9"/>
        <v>0.44432846559305311</v>
      </c>
      <c r="Z31" s="100">
        <f t="shared" si="9"/>
        <v>2.3253050522810259</v>
      </c>
      <c r="AA31" s="100">
        <f t="shared" si="9"/>
        <v>5.3407933844777621E-2</v>
      </c>
    </row>
    <row r="32" spans="1:27">
      <c r="A32" s="103" t="s">
        <v>241</v>
      </c>
      <c r="B32" s="105">
        <f>'Monster Consolidated Statements'!H157</f>
        <v>9204.4709999999995</v>
      </c>
      <c r="C32" s="105">
        <f>'Monster Consolidated Statements'!I157</f>
        <v>0</v>
      </c>
      <c r="D32" s="105">
        <f>'Monster Consolidated Statements'!J157</f>
        <v>0</v>
      </c>
      <c r="E32" s="105">
        <f>'Monster Consolidated Statements'!K157</f>
        <v>0</v>
      </c>
      <c r="F32" s="105">
        <f>'Monster Consolidated Statements'!L157</f>
        <v>0</v>
      </c>
      <c r="G32" s="105">
        <f>'Monster Consolidated Statements'!M157</f>
        <v>0</v>
      </c>
      <c r="H32" s="105">
        <f>'Monster Consolidated Statements'!N157</f>
        <v>0</v>
      </c>
      <c r="I32" s="105">
        <f>'Monster Consolidated Statements'!O157</f>
        <v>0</v>
      </c>
      <c r="J32" s="105">
        <f>'Monster Consolidated Statements'!P157</f>
        <v>0</v>
      </c>
      <c r="K32" s="105">
        <f>'Monster Consolidated Statements'!Q157</f>
        <v>0</v>
      </c>
      <c r="L32" s="105">
        <f>'Monster Consolidated Statements'!R157</f>
        <v>0</v>
      </c>
      <c r="M32" s="105">
        <f>'Monster Consolidated Statements'!S157</f>
        <v>0</v>
      </c>
      <c r="N32" s="105">
        <f>'Monster Consolidated Statements'!T157</f>
        <v>0</v>
      </c>
      <c r="O32" s="105">
        <f>'Monster Consolidated Statements'!U157</f>
        <v>0</v>
      </c>
      <c r="P32" s="105">
        <f>'Monster Consolidated Statements'!V157</f>
        <v>0</v>
      </c>
      <c r="Q32" s="105">
        <f>'Monster Consolidated Statements'!W157</f>
        <v>0</v>
      </c>
      <c r="R32" s="105">
        <f>'Monster Consolidated Statements'!X157</f>
        <v>0</v>
      </c>
      <c r="S32" s="105">
        <f>'Monster Consolidated Statements'!Y157</f>
        <v>0</v>
      </c>
      <c r="T32" s="105">
        <f>'Monster Consolidated Statements'!Z157</f>
        <v>0</v>
      </c>
      <c r="U32" s="105">
        <f>'Monster Consolidated Statements'!AA157</f>
        <v>0</v>
      </c>
      <c r="V32" s="105">
        <f>'Monster Consolidated Statements'!AB157</f>
        <v>0</v>
      </c>
      <c r="W32" s="105">
        <f>'Monster Consolidated Statements'!AC157</f>
        <v>0</v>
      </c>
      <c r="X32" s="105">
        <f>'Monster Consolidated Statements'!AD157</f>
        <v>0</v>
      </c>
      <c r="Y32" s="105">
        <f>'Monster Consolidated Statements'!AE157</f>
        <v>0</v>
      </c>
      <c r="Z32" s="105">
        <f>'Monster Consolidated Statements'!AF157</f>
        <v>750000</v>
      </c>
      <c r="AA32" s="105">
        <f>'Monster Consolidated Statements'!AG157</f>
        <v>0</v>
      </c>
    </row>
    <row r="33" spans="1:27">
      <c r="A33" s="103" t="s">
        <v>240</v>
      </c>
      <c r="B33" s="105">
        <f>-SUM('Monster Consolidated Statements'!H158,'Monster Consolidated Statements'!H159)</f>
        <v>1551.049</v>
      </c>
      <c r="C33" s="105">
        <f>-SUM('Monster Consolidated Statements'!I158,'Monster Consolidated Statements'!I159)</f>
        <v>4432.1009999999997</v>
      </c>
      <c r="D33" s="105">
        <f>-SUM('Monster Consolidated Statements'!J158,'Monster Consolidated Statements'!J159)</f>
        <v>2352.1970000000001</v>
      </c>
      <c r="E33" s="105">
        <f>-SUM('Monster Consolidated Statements'!K158,'Monster Consolidated Statements'!K159)</f>
        <v>3234.4450000000002</v>
      </c>
      <c r="F33" s="105">
        <f>-SUM('Monster Consolidated Statements'!L158,'Monster Consolidated Statements'!L159)</f>
        <v>422.38499999999999</v>
      </c>
      <c r="G33" s="105">
        <f>-SUM('Monster Consolidated Statements'!M158,'Monster Consolidated Statements'!M159)</f>
        <v>1054.961</v>
      </c>
      <c r="H33" s="105">
        <f>-SUM('Monster Consolidated Statements'!N158,'Monster Consolidated Statements'!N159)</f>
        <v>1176</v>
      </c>
      <c r="I33" s="105">
        <f>-SUM('Monster Consolidated Statements'!O158,'Monster Consolidated Statements'!O159)</f>
        <v>910</v>
      </c>
      <c r="J33" s="105">
        <f>-SUM('Monster Consolidated Statements'!P158,'Monster Consolidated Statements'!P159)</f>
        <v>1170</v>
      </c>
      <c r="K33" s="105">
        <f>-SUM('Monster Consolidated Statements'!Q158,'Monster Consolidated Statements'!Q159)</f>
        <v>1539</v>
      </c>
      <c r="L33" s="105">
        <f>-SUM('Monster Consolidated Statements'!R158,'Monster Consolidated Statements'!R159)</f>
        <v>420</v>
      </c>
      <c r="M33" s="105">
        <f>-SUM('Monster Consolidated Statements'!S158,'Monster Consolidated Statements'!S159)</f>
        <v>1942</v>
      </c>
      <c r="N33" s="105">
        <f>-SUM('Monster Consolidated Statements'!T158,'Monster Consolidated Statements'!T159)</f>
        <v>2076</v>
      </c>
      <c r="O33" s="105">
        <f>-SUM('Monster Consolidated Statements'!U158,'Monster Consolidated Statements'!U159)</f>
        <v>1887</v>
      </c>
      <c r="P33" s="105">
        <f>-SUM('Monster Consolidated Statements'!V158,'Monster Consolidated Statements'!V159)</f>
        <v>1619</v>
      </c>
      <c r="Q33" s="105">
        <f>-SUM('Monster Consolidated Statements'!W158,'Monster Consolidated Statements'!W159)</f>
        <v>1083</v>
      </c>
      <c r="R33" s="105">
        <f>-SUM('Monster Consolidated Statements'!X158,'Monster Consolidated Statements'!X159)</f>
        <v>2359</v>
      </c>
      <c r="S33" s="105">
        <f>-SUM('Monster Consolidated Statements'!Y158,'Monster Consolidated Statements'!Y159)</f>
        <v>2583</v>
      </c>
      <c r="T33" s="105">
        <f>-SUM('Monster Consolidated Statements'!Z158,'Monster Consolidated Statements'!Z159)</f>
        <v>1886</v>
      </c>
      <c r="U33" s="105">
        <f>-SUM('Monster Consolidated Statements'!AA158,'Monster Consolidated Statements'!AA159)</f>
        <v>13569</v>
      </c>
      <c r="V33" s="105">
        <f>-SUM('Monster Consolidated Statements'!AB158,'Monster Consolidated Statements'!AB159)</f>
        <v>3086</v>
      </c>
      <c r="W33" s="105">
        <f>-SUM('Monster Consolidated Statements'!AC158,'Monster Consolidated Statements'!AC159)</f>
        <v>0</v>
      </c>
      <c r="X33" s="105">
        <f>-SUM('Monster Consolidated Statements'!AD158,'Monster Consolidated Statements'!AD159)</f>
        <v>0</v>
      </c>
      <c r="Y33" s="105">
        <f>-SUM('Monster Consolidated Statements'!AE158,'Monster Consolidated Statements'!AE159)</f>
        <v>13914</v>
      </c>
      <c r="Z33" s="105">
        <f>-SUM('Monster Consolidated Statements'!AF158,'Monster Consolidated Statements'!AF159)</f>
        <v>375000</v>
      </c>
      <c r="AA33" s="105">
        <f>-SUM('Monster Consolidated Statements'!AG158,'Monster Consolidated Statements'!AG159)</f>
        <v>375000</v>
      </c>
    </row>
    <row r="34" spans="1:27">
      <c r="A34" s="103" t="s">
        <v>201</v>
      </c>
      <c r="B34" s="105">
        <f>'Monster Consolidated Statements'!H42</f>
        <v>10405.703</v>
      </c>
      <c r="C34" s="105">
        <f>'Monster Consolidated Statements'!I42</f>
        <v>10314.904</v>
      </c>
      <c r="D34" s="105">
        <f>'Monster Consolidated Statements'!J42</f>
        <v>10339.603999999999</v>
      </c>
      <c r="E34" s="105">
        <f>'Monster Consolidated Statements'!K42</f>
        <v>10762.156999999999</v>
      </c>
      <c r="F34" s="105">
        <f>'Monster Consolidated Statements'!L42</f>
        <v>92667.290909090909</v>
      </c>
      <c r="G34" s="105">
        <f>'Monster Consolidated Statements'!M42</f>
        <v>96578.424615384618</v>
      </c>
      <c r="H34" s="105">
        <f>'Monster Consolidated Statements'!N42</f>
        <v>98586</v>
      </c>
      <c r="I34" s="105">
        <f>'Monster Consolidated Statements'!O42</f>
        <v>98874</v>
      </c>
      <c r="J34" s="105">
        <f>'Monster Consolidated Statements'!P42</f>
        <v>97530</v>
      </c>
      <c r="K34" s="105">
        <f>'Monster Consolidated Statements'!Q42</f>
        <v>94643</v>
      </c>
      <c r="L34" s="105">
        <f>'Monster Consolidated Statements'!R42</f>
        <v>93021</v>
      </c>
      <c r="M34" s="105">
        <f>'Monster Consolidated Statements'!S42</f>
        <v>186674</v>
      </c>
      <c r="N34" s="105">
        <f>'Monster Consolidated Statements'!T42</f>
        <v>183083</v>
      </c>
      <c r="O34" s="105">
        <f>'Monster Consolidated Statements'!U42</f>
        <v>173387</v>
      </c>
      <c r="P34" s="105">
        <f>'Monster Consolidated Statements'!V42</f>
        <v>174285</v>
      </c>
      <c r="Q34" s="105">
        <f>'Monster Consolidated Statements'!W42</f>
        <v>192586</v>
      </c>
      <c r="R34" s="105">
        <f>'Monster Consolidated Statements'!X42</f>
        <v>599819</v>
      </c>
      <c r="S34" s="105">
        <f>'Monster Consolidated Statements'!Y42</f>
        <v>577141</v>
      </c>
      <c r="T34" s="105">
        <f>'Monster Consolidated Statements'!Z42</f>
        <v>564254</v>
      </c>
      <c r="U34" s="105">
        <f>'Monster Consolidated Statements'!AA42</f>
        <v>546608</v>
      </c>
      <c r="V34" s="105">
        <f>'Monster Consolidated Statements'!AB42</f>
        <v>534807</v>
      </c>
      <c r="W34" s="105">
        <f>'Monster Consolidated Statements'!AC42</f>
        <v>535639</v>
      </c>
      <c r="X34" s="105">
        <f>'Monster Consolidated Statements'!AD42</f>
        <v>1066442</v>
      </c>
      <c r="Y34" s="105">
        <f>'Monster Consolidated Statements'!AE42</f>
        <v>1057981</v>
      </c>
      <c r="Z34" s="105">
        <f>'Monster Consolidated Statements'!AF42</f>
        <v>1013107</v>
      </c>
      <c r="AA34" s="105">
        <f>'Monster Consolidated Statements'!AG42</f>
        <v>984451</v>
      </c>
    </row>
    <row r="35" spans="1:27">
      <c r="A35" s="103" t="s">
        <v>239</v>
      </c>
      <c r="B35" s="102">
        <f>IFERROR(B34/'Monster Consolidated Statements'!G42-1,0)</f>
        <v>-9.9804920820915077E-3</v>
      </c>
      <c r="C35" s="102">
        <f>IFERROR(C34/'Monster Consolidated Statements'!H42-1,0)</f>
        <v>-8.725888101937862E-3</v>
      </c>
      <c r="D35" s="102">
        <f>IFERROR(D34/'Monster Consolidated Statements'!I42-1,0)</f>
        <v>2.3945932991715768E-3</v>
      </c>
      <c r="E35" s="102">
        <f>IFERROR(E34/'Monster Consolidated Statements'!J42-1,0)</f>
        <v>4.0867425870468432E-2</v>
      </c>
      <c r="F35" s="102">
        <f>IFERROR(F34/'Monster Consolidated Statements'!K42-1,0)</f>
        <v>7.6104756610678432</v>
      </c>
      <c r="G35" s="102">
        <f>IFERROR(G34/'Monster Consolidated Statements'!L42-1,0)</f>
        <v>4.2206194525861829E-2</v>
      </c>
      <c r="H35" s="102">
        <f>IFERROR(H34/'Monster Consolidated Statements'!M42-1,0)</f>
        <v>2.0786996605198116E-2</v>
      </c>
      <c r="I35" s="102">
        <f>IFERROR(I34/'Monster Consolidated Statements'!N42-1,0)</f>
        <v>2.9213072850100552E-3</v>
      </c>
      <c r="J35" s="102">
        <f>IFERROR(J34/'Monster Consolidated Statements'!O42-1,0)</f>
        <v>-1.3593057831179034E-2</v>
      </c>
      <c r="K35" s="102">
        <f>IFERROR(K34/'Monster Consolidated Statements'!P42-1,0)</f>
        <v>-2.9601148364605812E-2</v>
      </c>
      <c r="L35" s="102">
        <f>IFERROR(L34/'Monster Consolidated Statements'!Q42-1,0)</f>
        <v>-1.7138087338736119E-2</v>
      </c>
      <c r="M35" s="102">
        <f>IFERROR(M34/'Monster Consolidated Statements'!R42-1,0)</f>
        <v>1.0067941647584955</v>
      </c>
      <c r="N35" s="102">
        <f>IFERROR(N34/'Monster Consolidated Statements'!S42-1,0)</f>
        <v>-1.923674427076083E-2</v>
      </c>
      <c r="O35" s="102">
        <f>IFERROR(O34/'Monster Consolidated Statements'!T42-1,0)</f>
        <v>-5.2959586635569655E-2</v>
      </c>
      <c r="P35" s="102">
        <f>IFERROR(P34/'Monster Consolidated Statements'!U42-1,0)</f>
        <v>5.1791656813948705E-3</v>
      </c>
      <c r="Q35" s="102">
        <f>IFERROR(Q34/'Monster Consolidated Statements'!V42-1,0)</f>
        <v>0.10500616805806584</v>
      </c>
      <c r="R35" s="102">
        <f>IFERROR(R34/'Monster Consolidated Statements'!W42-1,0)</f>
        <v>2.1145514211832634</v>
      </c>
      <c r="S35" s="102">
        <f>IFERROR(S34/'Monster Consolidated Statements'!X42-1,0)</f>
        <v>-3.7808072101750745E-2</v>
      </c>
      <c r="T35" s="102">
        <f>IFERROR(T34/'Monster Consolidated Statements'!Y42-1,0)</f>
        <v>-2.2329032246885983E-2</v>
      </c>
      <c r="U35" s="102">
        <f>IFERROR(U34/'Monster Consolidated Statements'!Z42-1,0)</f>
        <v>-3.127315003526776E-2</v>
      </c>
      <c r="V35" s="102">
        <f>IFERROR(V34/'Monster Consolidated Statements'!AA42-1,0)</f>
        <v>-2.1589512045195103E-2</v>
      </c>
      <c r="W35" s="102">
        <f>IFERROR(W34/'Monster Consolidated Statements'!AB42-1,0)</f>
        <v>1.5557014025620042E-3</v>
      </c>
      <c r="X35" s="102">
        <f>IFERROR(X34/'Monster Consolidated Statements'!AC42-1,0)</f>
        <v>0.99097153119918446</v>
      </c>
      <c r="Y35" s="102">
        <f>IFERROR(Y34/'Monster Consolidated Statements'!AD42-1,0)</f>
        <v>-7.9338585689611163E-3</v>
      </c>
      <c r="Z35" s="102">
        <f>IFERROR(Z34/'Monster Consolidated Statements'!AE42-1,0)</f>
        <v>-4.2414750359411002E-2</v>
      </c>
      <c r="AA35" s="102">
        <f>IFERROR(AA34/'Monster Consolidated Statements'!AF42-1,0)</f>
        <v>-2.8285265031235629E-2</v>
      </c>
    </row>
    <row r="36" spans="1:27">
      <c r="A36" s="103" t="s">
        <v>238</v>
      </c>
      <c r="B36" s="105">
        <f>'Monster Consolidated Statements'!H167</f>
        <v>-1878.489999999998</v>
      </c>
      <c r="C36" s="105">
        <f>'Monster Consolidated Statements'!I167</f>
        <v>116.99200000000019</v>
      </c>
      <c r="D36" s="105">
        <f>'Monster Consolidated Statements'!J167</f>
        <v>290.26300000000037</v>
      </c>
      <c r="E36" s="105">
        <f>'Monster Consolidated Statements'!K167</f>
        <v>560.86500000000115</v>
      </c>
      <c r="F36" s="105">
        <f>'Monster Consolidated Statements'!L167</f>
        <v>2577.3340000000012</v>
      </c>
      <c r="G36" s="105">
        <f>'Monster Consolidated Statements'!M167</f>
        <v>57978.165000000001</v>
      </c>
      <c r="H36" s="105">
        <f>'Monster Consolidated Statements'!N167</f>
        <v>-26525</v>
      </c>
      <c r="I36" s="105">
        <f>'Monster Consolidated Statements'!O167</f>
        <v>-22689</v>
      </c>
      <c r="J36" s="105">
        <f>'Monster Consolidated Statements'!P167</f>
        <v>244361</v>
      </c>
      <c r="K36" s="105">
        <f>'Monster Consolidated Statements'!Q167</f>
        <v>71548</v>
      </c>
      <c r="L36" s="105">
        <f>'Monster Consolidated Statements'!R167</f>
        <v>26493</v>
      </c>
      <c r="M36" s="105">
        <f>'Monster Consolidated Statements'!S167</f>
        <v>4489</v>
      </c>
      <c r="N36" s="105">
        <f>'Monster Consolidated Statements'!T167</f>
        <v>-136816</v>
      </c>
      <c r="O36" s="105">
        <f>'Monster Consolidated Statements'!U167</f>
        <v>-11165</v>
      </c>
      <c r="P36" s="105">
        <f>'Monster Consolidated Statements'!V167</f>
        <v>158974</v>
      </c>
      <c r="Q36" s="105">
        <f>'Monster Consolidated Statements'!W167</f>
        <v>1805094</v>
      </c>
      <c r="R36" s="105">
        <f>'Monster Consolidated Statements'!X167</f>
        <v>-1797835</v>
      </c>
      <c r="S36" s="105">
        <f>'Monster Consolidated Statements'!Y167</f>
        <v>151040</v>
      </c>
      <c r="T36" s="105">
        <f>'Monster Consolidated Statements'!Z167</f>
        <v>108891</v>
      </c>
      <c r="U36" s="105">
        <f>'Monster Consolidated Statements'!AA167</f>
        <v>160165</v>
      </c>
      <c r="V36" s="105">
        <f>'Monster Consolidated Statements'!AB167</f>
        <v>382456</v>
      </c>
      <c r="W36" s="105">
        <f>'Monster Consolidated Statements'!AC167</f>
        <v>146049</v>
      </c>
      <c r="X36" s="105">
        <f>'Monster Consolidated Statements'!AD167</f>
        <v>-19321</v>
      </c>
      <c r="Y36" s="105">
        <f>'Monster Consolidated Statements'!AE167</f>
        <v>990534</v>
      </c>
      <c r="Z36" s="105">
        <f>'Monster Consolidated Statements'!AF167</f>
        <v>-764388</v>
      </c>
      <c r="AA36" s="105">
        <f>'Monster Consolidated Statements'!AG167</f>
        <v>554830</v>
      </c>
    </row>
    <row r="37" spans="1:27">
      <c r="A37" s="101" t="s">
        <v>237</v>
      </c>
      <c r="B37" s="111">
        <f t="shared" ref="B37:AA37" si="10">IFERROR(B28/B34,0)</f>
        <v>-0.84617983042568079</v>
      </c>
      <c r="C37" s="111">
        <f t="shared" si="10"/>
        <v>0.44151162240579267</v>
      </c>
      <c r="D37" s="111">
        <f t="shared" si="10"/>
        <v>0.21712669073206289</v>
      </c>
      <c r="E37" s="111">
        <f t="shared" si="10"/>
        <v>0.26591202860170154</v>
      </c>
      <c r="F37" s="111">
        <f t="shared" si="10"/>
        <v>0.20135802845801629</v>
      </c>
      <c r="G37" s="111">
        <f t="shared" si="10"/>
        <v>0.54161505748632244</v>
      </c>
      <c r="H37" s="111">
        <f t="shared" si="10"/>
        <v>0.7253869717809831</v>
      </c>
      <c r="I37" s="111">
        <f t="shared" si="10"/>
        <v>1.2988551085219573</v>
      </c>
      <c r="J37" s="111">
        <f t="shared" si="10"/>
        <v>1.931959397108582</v>
      </c>
      <c r="K37" s="111">
        <f t="shared" si="10"/>
        <v>1.3463541941823485</v>
      </c>
      <c r="L37" s="111">
        <f t="shared" si="10"/>
        <v>2.2215091215961986</v>
      </c>
      <c r="M37" s="111">
        <f t="shared" si="10"/>
        <v>1.6239165604208405</v>
      </c>
      <c r="N37" s="111">
        <f t="shared" si="10"/>
        <v>1.3023655937470984</v>
      </c>
      <c r="O37" s="111">
        <f t="shared" si="10"/>
        <v>1.6731127477838592</v>
      </c>
      <c r="P37" s="111">
        <f t="shared" si="10"/>
        <v>3.1798720486559371</v>
      </c>
      <c r="Q37" s="111">
        <f t="shared" si="10"/>
        <v>0.85931999210742216</v>
      </c>
      <c r="R37" s="111">
        <f t="shared" si="10"/>
        <v>0.99366308836499007</v>
      </c>
      <c r="S37" s="111">
        <f t="shared" si="10"/>
        <v>1.5500596907861337</v>
      </c>
      <c r="T37" s="111">
        <f t="shared" si="10"/>
        <v>1.9263594055159556</v>
      </c>
      <c r="U37" s="111">
        <f t="shared" si="10"/>
        <v>1.835108523841583</v>
      </c>
      <c r="V37" s="111">
        <f t="shared" si="10"/>
        <v>2.4249701294111707</v>
      </c>
      <c r="W37" s="111">
        <f t="shared" si="10"/>
        <v>2.050425753165845</v>
      </c>
      <c r="X37" s="111">
        <f t="shared" si="10"/>
        <v>0.63345779704850336</v>
      </c>
      <c r="Y37" s="111">
        <f t="shared" si="10"/>
        <v>1.4017539067336748</v>
      </c>
      <c r="Z37" s="111">
        <f t="shared" si="10"/>
        <v>1.6011132091674423</v>
      </c>
      <c r="AA37" s="111">
        <f t="shared" si="10"/>
        <v>1.9712997396518466</v>
      </c>
    </row>
    <row r="38" spans="1:27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1:27">
      <c r="A39" s="106" t="s">
        <v>236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spans="1:27">
      <c r="A40" s="103" t="s">
        <v>0</v>
      </c>
      <c r="B40" s="105">
        <f>'Monster Consolidated Statements'!H6</f>
        <v>79732.709000000003</v>
      </c>
      <c r="C40" s="105">
        <f>'Monster Consolidated Statements'!I6</f>
        <v>92279.710999999996</v>
      </c>
      <c r="D40" s="105">
        <f>'Monster Consolidated Statements'!J6</f>
        <v>92046.361999999994</v>
      </c>
      <c r="E40" s="105">
        <f>'Monster Consolidated Statements'!K6</f>
        <v>110352.196</v>
      </c>
      <c r="F40" s="105">
        <f>'Monster Consolidated Statements'!L6</f>
        <v>180341.13500000001</v>
      </c>
      <c r="G40" s="105">
        <f>'Monster Consolidated Statements'!M6</f>
        <v>348886.36599999998</v>
      </c>
      <c r="H40" s="105">
        <f>'Monster Consolidated Statements'!N6</f>
        <v>605774</v>
      </c>
      <c r="I40" s="105">
        <f>'Monster Consolidated Statements'!O6</f>
        <v>904465</v>
      </c>
      <c r="J40" s="105">
        <f>'Monster Consolidated Statements'!P6</f>
        <v>1033780</v>
      </c>
      <c r="K40" s="105">
        <f>'Monster Consolidated Statements'!Q6</f>
        <v>1143299</v>
      </c>
      <c r="L40" s="105">
        <f>'Monster Consolidated Statements'!R6</f>
        <v>1303942</v>
      </c>
      <c r="M40" s="105">
        <f>'Monster Consolidated Statements'!S6</f>
        <v>1703230</v>
      </c>
      <c r="N40" s="105">
        <f>'Monster Consolidated Statements'!T6</f>
        <v>2060702</v>
      </c>
      <c r="O40" s="105">
        <f>'Monster Consolidated Statements'!U6</f>
        <v>2246428</v>
      </c>
      <c r="P40" s="105">
        <f>'Monster Consolidated Statements'!V6</f>
        <v>2464867</v>
      </c>
      <c r="Q40" s="105">
        <f>'Monster Consolidated Statements'!W6</f>
        <v>2722564</v>
      </c>
      <c r="R40" s="105">
        <f>'Monster Consolidated Statements'!X6</f>
        <v>3049393</v>
      </c>
      <c r="S40" s="105">
        <f>'Monster Consolidated Statements'!Y6</f>
        <v>3369045</v>
      </c>
      <c r="T40" s="105">
        <f>'Monster Consolidated Statements'!Z6</f>
        <v>3807183</v>
      </c>
      <c r="U40" s="105">
        <f>'Monster Consolidated Statements'!AA6</f>
        <v>4200819</v>
      </c>
      <c r="V40" s="105">
        <f>'Monster Consolidated Statements'!AB6</f>
        <v>4598638</v>
      </c>
      <c r="W40" s="105">
        <f>'Monster Consolidated Statements'!AC6</f>
        <v>5541352</v>
      </c>
      <c r="X40" s="105">
        <f>'Monster Consolidated Statements'!AD6</f>
        <v>6311050</v>
      </c>
      <c r="Y40" s="105">
        <f>'Monster Consolidated Statements'!AE6</f>
        <v>7140027</v>
      </c>
      <c r="Z40" s="105">
        <f>'Monster Consolidated Statements'!AF6</f>
        <v>7492709</v>
      </c>
      <c r="AA40" s="105">
        <f>'Monster Consolidated Statements'!AG6</f>
        <v>8294343</v>
      </c>
    </row>
    <row r="41" spans="1:27">
      <c r="A41" s="101" t="s">
        <v>235</v>
      </c>
      <c r="B41" s="100">
        <f>IFERROR(B40/'Monster Consolidated Statements'!G6-1,0)</f>
        <v>0.1027551261710653</v>
      </c>
      <c r="C41" s="100">
        <f>IFERROR(C40/'Monster Consolidated Statements'!H6-1,0)</f>
        <v>0.15736329741411392</v>
      </c>
      <c r="D41" s="100">
        <f>IFERROR(D40/'Monster Consolidated Statements'!I6-1,0)</f>
        <v>-2.5287140311915923E-3</v>
      </c>
      <c r="E41" s="100">
        <f>IFERROR(E40/'Monster Consolidated Statements'!J6-1,0)</f>
        <v>0.19887623586905057</v>
      </c>
      <c r="F41" s="100">
        <f>IFERROR(F40/'Monster Consolidated Statements'!K6-1,0)</f>
        <v>0.63423240802566361</v>
      </c>
      <c r="G41" s="100">
        <f>IFERROR(G40/'Monster Consolidated Statements'!L6-1,0)</f>
        <v>0.93459116246551277</v>
      </c>
      <c r="H41" s="100">
        <f>IFERROR(H40/'Monster Consolidated Statements'!M6-1,0)</f>
        <v>0.73630746006279879</v>
      </c>
      <c r="I41" s="100">
        <f>IFERROR(I40/'Monster Consolidated Statements'!N6-1,0)</f>
        <v>0.49307332437509688</v>
      </c>
      <c r="J41" s="100">
        <f>IFERROR(J40/'Monster Consolidated Statements'!O6-1,0)</f>
        <v>0.14297402331765197</v>
      </c>
      <c r="K41" s="100">
        <f>IFERROR(K40/'Monster Consolidated Statements'!P6-1,0)</f>
        <v>0.1059403354678945</v>
      </c>
      <c r="L41" s="100">
        <f>IFERROR(L40/'Monster Consolidated Statements'!Q6-1,0)</f>
        <v>0.14050830097813427</v>
      </c>
      <c r="M41" s="100">
        <f>IFERROR(M40/'Monster Consolidated Statements'!R6-1,0)</f>
        <v>0.30621607402783257</v>
      </c>
      <c r="N41" s="100">
        <f>IFERROR(N40/'Monster Consolidated Statements'!S6-1,0)</f>
        <v>0.20987887719215848</v>
      </c>
      <c r="O41" s="100">
        <f>IFERROR(O40/'Monster Consolidated Statements'!T6-1,0)</f>
        <v>9.0127539061931383E-2</v>
      </c>
      <c r="P41" s="100">
        <f>IFERROR(P40/'Monster Consolidated Statements'!U6-1,0)</f>
        <v>9.7238371316596739E-2</v>
      </c>
      <c r="Q41" s="100">
        <f>IFERROR(Q40/'Monster Consolidated Statements'!V6-1,0)</f>
        <v>0.10454803443755778</v>
      </c>
      <c r="R41" s="100">
        <f>IFERROR(R40/'Monster Consolidated Statements'!W6-1,0)</f>
        <v>0.12004456093594129</v>
      </c>
      <c r="S41" s="100">
        <f>IFERROR(S40/'Monster Consolidated Statements'!X6-1,0)</f>
        <v>0.10482479627912844</v>
      </c>
      <c r="T41" s="100">
        <f>IFERROR(T40/'Monster Consolidated Statements'!Y6-1,0)</f>
        <v>0.13004812936603694</v>
      </c>
      <c r="U41" s="100">
        <f>IFERROR(U40/'Monster Consolidated Statements'!Z6-1,0)</f>
        <v>0.103392981109655</v>
      </c>
      <c r="V41" s="100">
        <f>IFERROR(V40/'Monster Consolidated Statements'!AA6-1,0)</f>
        <v>9.4700342956932859E-2</v>
      </c>
      <c r="W41" s="100">
        <f>IFERROR(W40/'Monster Consolidated Statements'!AB6-1,0)</f>
        <v>0.204998523475864</v>
      </c>
      <c r="X41" s="100">
        <f>IFERROR(X40/'Monster Consolidated Statements'!AC6-1,0)</f>
        <v>0.13890075923709588</v>
      </c>
      <c r="Y41" s="100">
        <f>IFERROR(Y40/'Monster Consolidated Statements'!AD6-1,0)</f>
        <v>0.13135326134319958</v>
      </c>
      <c r="Z41" s="100">
        <f>IFERROR(Z40/'Monster Consolidated Statements'!AE6-1,0)</f>
        <v>4.9395051307228988E-2</v>
      </c>
      <c r="AA41" s="100">
        <f>IFERROR(AA40/'Monster Consolidated Statements'!AF6-1,0)</f>
        <v>0.106988540459799</v>
      </c>
    </row>
    <row r="42" spans="1:27">
      <c r="A42" s="101" t="s">
        <v>234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10">
        <v>0.17272727272727262</v>
      </c>
      <c r="M42" s="110">
        <v>0.27644186046511621</v>
      </c>
      <c r="N42" s="110">
        <v>0.23233795494986675</v>
      </c>
      <c r="O42" s="110">
        <v>9.0824865216491357E-2</v>
      </c>
      <c r="P42" s="110">
        <v>7.6494931058785243E-2</v>
      </c>
      <c r="Q42" s="110">
        <v>0.15251384925297962</v>
      </c>
      <c r="R42" s="110">
        <v>0.16873800619763246</v>
      </c>
      <c r="S42" s="110">
        <v>0.12150112163509474</v>
      </c>
      <c r="T42" s="110">
        <v>0.14148634420222428</v>
      </c>
      <c r="U42" s="110">
        <v>9.220075641418779E-2</v>
      </c>
      <c r="V42" s="110">
        <v>0.12489916883927199</v>
      </c>
      <c r="W42" s="110">
        <v>0.21516537544991188</v>
      </c>
      <c r="X42" s="110">
        <v>0.14383779369165084</v>
      </c>
      <c r="Y42" s="110">
        <v>9.6289318304575877E-2</v>
      </c>
      <c r="Z42" s="110">
        <v>0.10064726139142355</v>
      </c>
      <c r="AA42" s="110">
        <v>0.13262892083390909</v>
      </c>
    </row>
    <row r="43" spans="1:27">
      <c r="A43" s="101" t="s">
        <v>233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10">
        <v>-2.7884615384615508E-2</v>
      </c>
      <c r="M43" s="110">
        <v>2.2749752720079064E-2</v>
      </c>
      <c r="N43" s="110">
        <v>-1.7408123791102459E-2</v>
      </c>
      <c r="O43" s="110">
        <v>-9.8425196850393526E-4</v>
      </c>
      <c r="P43" s="110">
        <v>1.8719211822660009E-2</v>
      </c>
      <c r="Q43" s="110">
        <v>-4.1586073500967102E-2</v>
      </c>
      <c r="R43" s="110">
        <v>-4.6417759838547012E-2</v>
      </c>
      <c r="S43" s="110">
        <v>-1.5873015873015706E-2</v>
      </c>
      <c r="T43" s="110">
        <v>-9.6774193548386789E-3</v>
      </c>
      <c r="U43" s="110">
        <v>1.0857763300760048E-2</v>
      </c>
      <c r="V43" s="110">
        <v>-2.6852846401718589E-2</v>
      </c>
      <c r="W43" s="110">
        <v>-7.7262693156733286E-3</v>
      </c>
      <c r="X43" s="110">
        <v>-1.8909899888765236E-2</v>
      </c>
      <c r="Y43" s="110">
        <v>2.1541950113378672E-2</v>
      </c>
      <c r="Z43" s="110">
        <v>-4.3285238623751443E-2</v>
      </c>
      <c r="AA43" s="110">
        <v>-1.6241299303944134E-2</v>
      </c>
    </row>
    <row r="44" spans="1:27">
      <c r="A44" s="101" t="s">
        <v>232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9">
        <f t="shared" ref="L44:AA44" si="11">(1+L42)*(1+L43)-1</f>
        <v>0.14002622377622354</v>
      </c>
      <c r="M44" s="109">
        <f t="shared" si="11"/>
        <v>0.30548059715225517</v>
      </c>
      <c r="N44" s="109">
        <f t="shared" si="11"/>
        <v>0.21088526327762547</v>
      </c>
      <c r="O44" s="109">
        <f t="shared" si="11"/>
        <v>8.9751218695609092E-2</v>
      </c>
      <c r="P44" s="109">
        <f t="shared" si="11"/>
        <v>9.6646067699294402E-2</v>
      </c>
      <c r="Q44" s="109">
        <f t="shared" si="11"/>
        <v>0.10458532360706263</v>
      </c>
      <c r="R44" s="109">
        <f t="shared" si="11"/>
        <v>0.11448780611176845</v>
      </c>
      <c r="S44" s="109">
        <f t="shared" si="11"/>
        <v>0.10369951652977605</v>
      </c>
      <c r="T44" s="109">
        <f t="shared" si="11"/>
        <v>0.13043970216155754</v>
      </c>
      <c r="U44" s="109">
        <f t="shared" si="11"/>
        <v>0.10405961370424421</v>
      </c>
      <c r="V44" s="109">
        <f t="shared" si="11"/>
        <v>9.4692424241010098E-2</v>
      </c>
      <c r="W44" s="109">
        <f t="shared" si="11"/>
        <v>0.20577668049610454</v>
      </c>
      <c r="X44" s="109">
        <f t="shared" si="11"/>
        <v>0.12220793552395559</v>
      </c>
      <c r="Y44" s="109">
        <f t="shared" si="11"/>
        <v>0.11990552810932287</v>
      </c>
      <c r="Z44" s="109">
        <f t="shared" si="11"/>
        <v>5.3005482041517338E-2</v>
      </c>
      <c r="AA44" s="109">
        <f t="shared" si="11"/>
        <v>0.11423355553034242</v>
      </c>
    </row>
    <row r="45" spans="1:27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</row>
    <row r="46" spans="1:27">
      <c r="A46" s="106" t="s">
        <v>231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spans="1:27">
      <c r="A47" s="103" t="s">
        <v>230</v>
      </c>
      <c r="B47" s="105">
        <f>'Monster Consolidated Statements'!H10</f>
        <v>37086.031999999999</v>
      </c>
      <c r="C47" s="105">
        <f>'Monster Consolidated Statements'!I10</f>
        <v>40824.503999999994</v>
      </c>
      <c r="D47" s="105">
        <f>'Monster Consolidated Statements'!J10</f>
        <v>33243.692999999992</v>
      </c>
      <c r="E47" s="105">
        <f>'Monster Consolidated Statements'!K10</f>
        <v>43775.027999999991</v>
      </c>
      <c r="F47" s="105">
        <f>'Monster Consolidated Statements'!L10</f>
        <v>83466.385000000009</v>
      </c>
      <c r="G47" s="105">
        <f>'Monster Consolidated Statements'!M10</f>
        <v>182543.24799999999</v>
      </c>
      <c r="H47" s="105">
        <f>'Monster Consolidated Statements'!N10</f>
        <v>316594</v>
      </c>
      <c r="I47" s="105">
        <f>'Monster Consolidated Statements'!O10</f>
        <v>468013</v>
      </c>
      <c r="J47" s="105">
        <f>'Monster Consolidated Statements'!P10</f>
        <v>538794</v>
      </c>
      <c r="K47" s="105">
        <f>'Monster Consolidated Statements'!Q10</f>
        <v>612316</v>
      </c>
      <c r="L47" s="105">
        <f>'Monster Consolidated Statements'!R10</f>
        <v>680240</v>
      </c>
      <c r="M47" s="105">
        <f>'Monster Consolidated Statements'!S10</f>
        <v>894309</v>
      </c>
      <c r="N47" s="105">
        <f>'Monster Consolidated Statements'!T10</f>
        <v>1065656</v>
      </c>
      <c r="O47" s="105">
        <f>'Monster Consolidated Statements'!U10</f>
        <v>1172931</v>
      </c>
      <c r="P47" s="105">
        <f>'Monster Consolidated Statements'!V10</f>
        <v>1339810</v>
      </c>
      <c r="Q47" s="105">
        <f>'Monster Consolidated Statements'!W10</f>
        <v>1632301</v>
      </c>
      <c r="R47" s="105">
        <f>'Monster Consolidated Statements'!X10</f>
        <v>1942000</v>
      </c>
      <c r="S47" s="105">
        <f>'Monster Consolidated Statements'!Y10</f>
        <v>2137690</v>
      </c>
      <c r="T47" s="105">
        <f>'Monster Consolidated Statements'!Z10</f>
        <v>2295375</v>
      </c>
      <c r="U47" s="105">
        <f>'Monster Consolidated Statements'!AA10</f>
        <v>2518585</v>
      </c>
      <c r="V47" s="105">
        <f>'Monster Consolidated Statements'!AB10</f>
        <v>2723880</v>
      </c>
      <c r="W47" s="105">
        <f>'Monster Consolidated Statements'!AC10</f>
        <v>3108513</v>
      </c>
      <c r="X47" s="105">
        <f>'Monster Consolidated Statements'!AD10</f>
        <v>3174567</v>
      </c>
      <c r="Y47" s="105">
        <f>'Monster Consolidated Statements'!AE10</f>
        <v>3794206</v>
      </c>
      <c r="Z47" s="105">
        <f>'Monster Consolidated Statements'!AF10</f>
        <v>4048878</v>
      </c>
      <c r="AA47" s="105">
        <f>'Monster Consolidated Statements'!AG10</f>
        <v>4632195</v>
      </c>
    </row>
    <row r="48" spans="1:27">
      <c r="A48" s="101" t="s">
        <v>229</v>
      </c>
      <c r="B48" s="100">
        <f>IFERROR(B47/'Monster Consolidated Statements'!H6,0)</f>
        <v>0.46512946148612605</v>
      </c>
      <c r="C48" s="100">
        <f>IFERROR(C47/'Monster Consolidated Statements'!I6,0)</f>
        <v>0.44239956494878918</v>
      </c>
      <c r="D48" s="100">
        <f>IFERROR(D47/'Monster Consolidated Statements'!J6,0)</f>
        <v>0.36116248679116719</v>
      </c>
      <c r="E48" s="100">
        <f>IFERROR(E47/'Monster Consolidated Statements'!K6,0)</f>
        <v>0.3966847021331591</v>
      </c>
      <c r="F48" s="100">
        <f>IFERROR(F47/'Monster Consolidated Statements'!L6,0)</f>
        <v>0.46282499552861306</v>
      </c>
      <c r="G48" s="100">
        <f>IFERROR(G47/'Monster Consolidated Statements'!M6,0)</f>
        <v>0.52321691470167686</v>
      </c>
      <c r="H48" s="100">
        <f>IFERROR(H47/'Monster Consolidated Statements'!N6,0)</f>
        <v>0.52262725042672675</v>
      </c>
      <c r="I48" s="100">
        <f>IFERROR(I47/'Monster Consolidated Statements'!O6,0)</f>
        <v>0.51744733074248317</v>
      </c>
      <c r="J48" s="100">
        <f>IFERROR(J47/'Monster Consolidated Statements'!P6,0)</f>
        <v>0.52118826055833933</v>
      </c>
      <c r="K48" s="100">
        <f>IFERROR(K47/'Monster Consolidated Statements'!Q6,0)</f>
        <v>0.53556943546701252</v>
      </c>
      <c r="L48" s="100">
        <f>IFERROR(L47/'Monster Consolidated Statements'!R6,0)</f>
        <v>0.52167964526029531</v>
      </c>
      <c r="M48" s="100">
        <f>IFERROR(M47/'Monster Consolidated Statements'!S6,0)</f>
        <v>0.52506649131356309</v>
      </c>
      <c r="N48" s="100">
        <f>IFERROR(N47/'Monster Consolidated Statements'!T6,0)</f>
        <v>0.51713251115396597</v>
      </c>
      <c r="O48" s="100">
        <f>IFERROR(O47/'Monster Consolidated Statements'!U6,0)</f>
        <v>0.52213157955652267</v>
      </c>
      <c r="P48" s="100">
        <f>IFERROR(P47/'Monster Consolidated Statements'!V6,0)</f>
        <v>0.54356279669450724</v>
      </c>
      <c r="Q48" s="100">
        <f>IFERROR(Q47/'Monster Consolidated Statements'!W6,0)</f>
        <v>0.59954550196065182</v>
      </c>
      <c r="R48" s="100">
        <f>IFERROR(R47/'Monster Consolidated Statements'!X6,0)</f>
        <v>0.63684805467842287</v>
      </c>
      <c r="S48" s="100">
        <f>IFERROR(S47/'Monster Consolidated Statements'!Y6,0)</f>
        <v>0.63450918583752958</v>
      </c>
      <c r="T48" s="100">
        <f>IFERROR(T47/'Monster Consolidated Statements'!Z6,0)</f>
        <v>0.60290640087434721</v>
      </c>
      <c r="U48" s="100">
        <f>IFERROR(U47/'Monster Consolidated Statements'!AA6,0)</f>
        <v>0.59954618373226742</v>
      </c>
      <c r="V48" s="100">
        <f>IFERROR(V47/'Monster Consolidated Statements'!AB6,0)</f>
        <v>0.59232320526207982</v>
      </c>
      <c r="W48" s="100">
        <f>IFERROR(W47/'Monster Consolidated Statements'!AC6,0)</f>
        <v>0.56096652946789882</v>
      </c>
      <c r="X48" s="100">
        <f>IFERROR(X47/'Monster Consolidated Statements'!AD6,0)</f>
        <v>0.50301724752616439</v>
      </c>
      <c r="Y48" s="100">
        <f>IFERROR(Y47/'Monster Consolidated Statements'!AE6,0)</f>
        <v>0.53139939106672851</v>
      </c>
      <c r="Z48" s="100">
        <f>IFERROR(Z47/'Monster Consolidated Statements'!AF6,0)</f>
        <v>0.54037571724725997</v>
      </c>
      <c r="AA48" s="100">
        <f>IFERROR(AA47/'Monster Consolidated Statements'!AG6,0)</f>
        <v>0.55847642182147517</v>
      </c>
    </row>
    <row r="49" spans="1:27">
      <c r="A49" s="103" t="s">
        <v>228</v>
      </c>
      <c r="B49" s="105">
        <f>SUM('Monster Consolidated Statements'!H106,'Monster Consolidated Statements'!H107)</f>
        <v>685.7349999999999</v>
      </c>
      <c r="C49" s="105">
        <f>SUM('Monster Consolidated Statements'!I106,'Monster Consolidated Statements'!I107)</f>
        <v>943.947</v>
      </c>
      <c r="D49" s="105">
        <f>SUM('Monster Consolidated Statements'!J106,'Monster Consolidated Statements'!J107)</f>
        <v>548.452</v>
      </c>
      <c r="E49" s="105">
        <f>SUM('Monster Consolidated Statements'!K106,'Monster Consolidated Statements'!K107)</f>
        <v>646.08500000000004</v>
      </c>
      <c r="F49" s="105">
        <f>SUM('Monster Consolidated Statements'!L106,'Monster Consolidated Statements'!L107)</f>
        <v>843.45900000000006</v>
      </c>
      <c r="G49" s="105">
        <f>SUM('Monster Consolidated Statements'!M106,'Monster Consolidated Statements'!M107)</f>
        <v>1078.731</v>
      </c>
      <c r="H49" s="105">
        <f>SUM('Monster Consolidated Statements'!N106,'Monster Consolidated Statements'!N107)</f>
        <v>1594</v>
      </c>
      <c r="I49" s="105">
        <f>SUM('Monster Consolidated Statements'!O106,'Monster Consolidated Statements'!O107)</f>
        <v>2184</v>
      </c>
      <c r="J49" s="105">
        <f>SUM('Monster Consolidated Statements'!P106,'Monster Consolidated Statements'!P107)</f>
        <v>3472</v>
      </c>
      <c r="K49" s="105">
        <f>SUM('Monster Consolidated Statements'!Q106,'Monster Consolidated Statements'!Q107)</f>
        <v>5907</v>
      </c>
      <c r="L49" s="105">
        <f>SUM('Monster Consolidated Statements'!R106,'Monster Consolidated Statements'!R107)</f>
        <v>11776</v>
      </c>
      <c r="M49" s="105">
        <f>SUM('Monster Consolidated Statements'!S106,'Monster Consolidated Statements'!S107)</f>
        <v>17084</v>
      </c>
      <c r="N49" s="105">
        <f>SUM('Monster Consolidated Statements'!T106,'Monster Consolidated Statements'!T107)</f>
        <v>20563</v>
      </c>
      <c r="O49" s="105">
        <f>SUM('Monster Consolidated Statements'!U106,'Monster Consolidated Statements'!U107)</f>
        <v>22762</v>
      </c>
      <c r="P49" s="105">
        <f>SUM('Monster Consolidated Statements'!V106,'Monster Consolidated Statements'!V107)</f>
        <v>25651</v>
      </c>
      <c r="Q49" s="105">
        <f>SUM('Monster Consolidated Statements'!W106,'Monster Consolidated Statements'!W107)</f>
        <v>30860</v>
      </c>
      <c r="R49" s="105">
        <f>SUM('Monster Consolidated Statements'!X106,'Monster Consolidated Statements'!X107)</f>
        <v>40845</v>
      </c>
      <c r="S49" s="105">
        <f>SUM('Monster Consolidated Statements'!Y106,'Monster Consolidated Statements'!Y107)</f>
        <v>48887</v>
      </c>
      <c r="T49" s="105">
        <f>SUM('Monster Consolidated Statements'!Z106,'Monster Consolidated Statements'!Z107)</f>
        <v>56979</v>
      </c>
      <c r="U49" s="105">
        <f>SUM('Monster Consolidated Statements'!AA106,'Monster Consolidated Statements'!AA107)</f>
        <v>60727</v>
      </c>
      <c r="V49" s="105">
        <f>SUM('Monster Consolidated Statements'!AB106,'Monster Consolidated Statements'!AB107)</f>
        <v>57030</v>
      </c>
      <c r="W49" s="105">
        <f>SUM('Monster Consolidated Statements'!AC106,'Monster Consolidated Statements'!AC107)</f>
        <v>50155</v>
      </c>
      <c r="X49" s="105">
        <f>SUM('Monster Consolidated Statements'!AD106,'Monster Consolidated Statements'!AD107)</f>
        <v>61241</v>
      </c>
      <c r="Y49" s="105">
        <f>SUM('Monster Consolidated Statements'!AE106,'Monster Consolidated Statements'!AE107)</f>
        <v>68898</v>
      </c>
      <c r="Z49" s="105">
        <f>SUM('Monster Consolidated Statements'!AF106,'Monster Consolidated Statements'!AF107)</f>
        <v>80434</v>
      </c>
      <c r="AA49" s="105">
        <f>SUM('Monster Consolidated Statements'!AG106,'Monster Consolidated Statements'!AG107)</f>
        <v>114441</v>
      </c>
    </row>
    <row r="50" spans="1:27">
      <c r="A50" s="103" t="s">
        <v>94</v>
      </c>
      <c r="B50" s="105">
        <f>'Monster Consolidated Statements'!H23+B49</f>
        <v>7586.0669999999982</v>
      </c>
      <c r="C50" s="105">
        <f>'Monster Consolidated Statements'!I23+C49</f>
        <v>6494.8509999999951</v>
      </c>
      <c r="D50" s="105">
        <f>'Monster Consolidated Statements'!J23+D49</f>
        <v>5841.344999999993</v>
      </c>
      <c r="E50" s="105">
        <f>'Monster Consolidated Statements'!K23+E49</f>
        <v>10472.212999999989</v>
      </c>
      <c r="F50" s="105">
        <f>'Monster Consolidated Statements'!L23+F49</f>
        <v>34729.644000000015</v>
      </c>
      <c r="G50" s="105">
        <f>'Monster Consolidated Statements'!M23+G49</f>
        <v>104522.079</v>
      </c>
      <c r="H50" s="105">
        <f>'Monster Consolidated Statements'!N23+H49</f>
        <v>160173</v>
      </c>
      <c r="I50" s="105">
        <f>'Monster Consolidated Statements'!O23+I49</f>
        <v>233170</v>
      </c>
      <c r="J50" s="105">
        <f>'Monster Consolidated Statements'!P23+J49</f>
        <v>167063</v>
      </c>
      <c r="K50" s="105">
        <f>'Monster Consolidated Statements'!Q23+K49</f>
        <v>343216</v>
      </c>
      <c r="L50" s="105">
        <f>'Monster Consolidated Statements'!R23+L49</f>
        <v>359590</v>
      </c>
      <c r="M50" s="105">
        <f>'Monster Consolidated Statements'!S23+M49</f>
        <v>473507</v>
      </c>
      <c r="N50" s="105">
        <f>'Monster Consolidated Statements'!T23+N49</f>
        <v>571186</v>
      </c>
      <c r="O50" s="105">
        <f>'Monster Consolidated Statements'!U23+O49</f>
        <v>595678</v>
      </c>
      <c r="P50" s="105">
        <f>'Monster Consolidated Statements'!V23+P49</f>
        <v>773156</v>
      </c>
      <c r="Q50" s="105">
        <f>'Monster Consolidated Statements'!W23+Q49</f>
        <v>763043</v>
      </c>
      <c r="R50" s="105">
        <f>'Monster Consolidated Statements'!X23+R49</f>
        <v>1126183</v>
      </c>
      <c r="S50" s="105">
        <f>'Monster Consolidated Statements'!Y23+S49</f>
        <v>1247674</v>
      </c>
      <c r="T50" s="105">
        <f>'Monster Consolidated Statements'!Z23+T49</f>
        <v>1340598</v>
      </c>
      <c r="U50" s="105">
        <f>'Monster Consolidated Statements'!AA23+U49</f>
        <v>1463666</v>
      </c>
      <c r="V50" s="105">
        <f>'Monster Consolidated Statements'!AB23+V49</f>
        <v>1690183</v>
      </c>
      <c r="W50" s="105">
        <f>'Monster Consolidated Statements'!AC23+W49</f>
        <v>1847622</v>
      </c>
      <c r="X50" s="105">
        <f>'Monster Consolidated Statements'!AD23+X49</f>
        <v>1645962</v>
      </c>
      <c r="Y50" s="105">
        <f>'Monster Consolidated Statements'!AE23+Y49</f>
        <v>2022253</v>
      </c>
      <c r="Z50" s="105">
        <f>'Monster Consolidated Statements'!AF23+Z49</f>
        <v>2010728</v>
      </c>
      <c r="AA50" s="105">
        <f>'Monster Consolidated Statements'!AG23+AA49</f>
        <v>2533795</v>
      </c>
    </row>
    <row r="51" spans="1:27">
      <c r="A51" s="101" t="s">
        <v>227</v>
      </c>
      <c r="B51" s="100">
        <f>IFERROR(B50/'Monster Consolidated Statements'!H6,0)</f>
        <v>9.5143725770060042E-2</v>
      </c>
      <c r="C51" s="100">
        <f>IFERROR(C50/'Monster Consolidated Statements'!I6,0)</f>
        <v>7.0382220854592781E-2</v>
      </c>
      <c r="D51" s="100">
        <f>IFERROR(D50/'Monster Consolidated Statements'!J6,0)</f>
        <v>6.3460900279795882E-2</v>
      </c>
      <c r="E51" s="100">
        <f>IFERROR(E50/'Monster Consolidated Statements'!K6,0)</f>
        <v>9.489809337369226E-2</v>
      </c>
      <c r="F51" s="100">
        <f>IFERROR(F50/'Monster Consolidated Statements'!L6,0)</f>
        <v>0.19257749486826736</v>
      </c>
      <c r="G51" s="100">
        <f>IFERROR(G50/'Monster Consolidated Statements'!M6,0)</f>
        <v>0.29958774313353365</v>
      </c>
      <c r="H51" s="100">
        <f>IFERROR(H50/'Monster Consolidated Statements'!N6,0)</f>
        <v>0.26441048972058889</v>
      </c>
      <c r="I51" s="100">
        <f>IFERROR(I50/'Monster Consolidated Statements'!O6,0)</f>
        <v>0.25779880924082194</v>
      </c>
      <c r="J51" s="100">
        <f>IFERROR(J50/'Monster Consolidated Statements'!P6,0)</f>
        <v>0.16160401632842578</v>
      </c>
      <c r="K51" s="100">
        <f>IFERROR(K50/'Monster Consolidated Statements'!Q6,0)</f>
        <v>0.30019793597300443</v>
      </c>
      <c r="L51" s="100">
        <f>IFERROR(L50/'Monster Consolidated Statements'!R6,0)</f>
        <v>0.27577146836285665</v>
      </c>
      <c r="M51" s="100">
        <f>IFERROR(M50/'Monster Consolidated Statements'!S6,0)</f>
        <v>0.27800531930508504</v>
      </c>
      <c r="N51" s="100">
        <f>IFERROR(N50/'Monster Consolidated Statements'!T6,0)</f>
        <v>0.27718030069364713</v>
      </c>
      <c r="O51" s="100">
        <f>IFERROR(O50/'Monster Consolidated Statements'!U6,0)</f>
        <v>0.26516674471650103</v>
      </c>
      <c r="P51" s="100">
        <f>IFERROR(P50/'Monster Consolidated Statements'!V6,0)</f>
        <v>0.31367047390386582</v>
      </c>
      <c r="Q51" s="100">
        <f>IFERROR(Q50/'Monster Consolidated Statements'!W6,0)</f>
        <v>0.28026632248130806</v>
      </c>
      <c r="R51" s="100">
        <f>IFERROR(R50/'Monster Consolidated Statements'!X6,0)</f>
        <v>0.3693138273748251</v>
      </c>
      <c r="S51" s="100">
        <f>IFERROR(S50/'Monster Consolidated Statements'!Y6,0)</f>
        <v>0.37033462004811452</v>
      </c>
      <c r="T51" s="100">
        <f>IFERROR(T50/'Monster Consolidated Statements'!Z6,0)</f>
        <v>0.352123341588781</v>
      </c>
      <c r="U51" s="100">
        <f>IFERROR(U50/'Monster Consolidated Statements'!AA6,0)</f>
        <v>0.34842396208929732</v>
      </c>
      <c r="V51" s="100">
        <f>IFERROR(V50/'Monster Consolidated Statements'!AB6,0)</f>
        <v>0.36753991073009007</v>
      </c>
      <c r="W51" s="100">
        <f>IFERROR(W50/'Monster Consolidated Statements'!AC6,0)</f>
        <v>0.3334244061738002</v>
      </c>
      <c r="X51" s="100">
        <f>IFERROR(X50/'Monster Consolidated Statements'!AD6,0)</f>
        <v>0.2608063634418995</v>
      </c>
      <c r="Y51" s="100">
        <f>IFERROR(Y50/'Monster Consolidated Statements'!AE6,0)</f>
        <v>0.28322764045570137</v>
      </c>
      <c r="Z51" s="100">
        <f>IFERROR(Z50/'Monster Consolidated Statements'!AF6,0)</f>
        <v>0.26835794637159938</v>
      </c>
      <c r="AA51" s="100">
        <f>IFERROR(AA50/'Monster Consolidated Statements'!AG6,0)</f>
        <v>0.30548471409971834</v>
      </c>
    </row>
    <row r="52" spans="1:27">
      <c r="A52" s="103" t="s">
        <v>226</v>
      </c>
      <c r="B52" s="105">
        <f>'Monster Consolidated Statements'!H23</f>
        <v>6900.3319999999985</v>
      </c>
      <c r="C52" s="105">
        <f>'Monster Consolidated Statements'!I23</f>
        <v>5550.903999999995</v>
      </c>
      <c r="D52" s="105">
        <f>'Monster Consolidated Statements'!J23</f>
        <v>5292.8929999999928</v>
      </c>
      <c r="E52" s="105">
        <f>'Monster Consolidated Statements'!K23</f>
        <v>9826.1279999999897</v>
      </c>
      <c r="F52" s="105">
        <f>'Monster Consolidated Statements'!L23</f>
        <v>33886.185000000012</v>
      </c>
      <c r="G52" s="105">
        <f>'Monster Consolidated Statements'!M23</f>
        <v>103443.348</v>
      </c>
      <c r="H52" s="105">
        <f>'Monster Consolidated Statements'!N23</f>
        <v>158579</v>
      </c>
      <c r="I52" s="105">
        <f>'Monster Consolidated Statements'!O23</f>
        <v>230986</v>
      </c>
      <c r="J52" s="105">
        <f>'Monster Consolidated Statements'!P23</f>
        <v>163591</v>
      </c>
      <c r="K52" s="105">
        <f>'Monster Consolidated Statements'!Q23</f>
        <v>337309</v>
      </c>
      <c r="L52" s="105">
        <f>'Monster Consolidated Statements'!R23</f>
        <v>347814</v>
      </c>
      <c r="M52" s="105">
        <f>'Monster Consolidated Statements'!S23</f>
        <v>456423</v>
      </c>
      <c r="N52" s="105">
        <f>'Monster Consolidated Statements'!T23</f>
        <v>550623</v>
      </c>
      <c r="O52" s="105">
        <f>'Monster Consolidated Statements'!U23</f>
        <v>572916</v>
      </c>
      <c r="P52" s="105">
        <f>'Monster Consolidated Statements'!V23</f>
        <v>747505</v>
      </c>
      <c r="Q52" s="105">
        <f>'Monster Consolidated Statements'!W23</f>
        <v>732183</v>
      </c>
      <c r="R52" s="105">
        <f>'Monster Consolidated Statements'!X23</f>
        <v>1085338</v>
      </c>
      <c r="S52" s="105">
        <f>'Monster Consolidated Statements'!Y23</f>
        <v>1198787</v>
      </c>
      <c r="T52" s="105">
        <f>'Monster Consolidated Statements'!Z23</f>
        <v>1283619</v>
      </c>
      <c r="U52" s="105">
        <f>'Monster Consolidated Statements'!AA23</f>
        <v>1402939</v>
      </c>
      <c r="V52" s="105">
        <f>'Monster Consolidated Statements'!AB23</f>
        <v>1633153</v>
      </c>
      <c r="W52" s="105">
        <f>'Monster Consolidated Statements'!AC23</f>
        <v>1797467</v>
      </c>
      <c r="X52" s="105">
        <f>'Monster Consolidated Statements'!AD23</f>
        <v>1584721</v>
      </c>
      <c r="Y52" s="105">
        <f>'Monster Consolidated Statements'!AE23</f>
        <v>1953355</v>
      </c>
      <c r="Z52" s="105">
        <f>'Monster Consolidated Statements'!AF23</f>
        <v>1930294</v>
      </c>
      <c r="AA52" s="105">
        <f>'Monster Consolidated Statements'!AG23</f>
        <v>2419354</v>
      </c>
    </row>
    <row r="53" spans="1:27">
      <c r="A53" s="101" t="s">
        <v>225</v>
      </c>
      <c r="B53" s="100">
        <f>IFERROR(B52/'Monster Consolidated Statements'!H6,0)</f>
        <v>8.654330307527866E-2</v>
      </c>
      <c r="C53" s="100">
        <f>IFERROR(C52/'Monster Consolidated Statements'!I6,0)</f>
        <v>6.0153027570708312E-2</v>
      </c>
      <c r="D53" s="100">
        <f>IFERROR(D52/'Monster Consolidated Statements'!J6,0)</f>
        <v>5.7502468158382981E-2</v>
      </c>
      <c r="E53" s="100">
        <f>IFERROR(E52/'Monster Consolidated Statements'!K6,0)</f>
        <v>8.9043339019732687E-2</v>
      </c>
      <c r="F53" s="100">
        <f>IFERROR(F52/'Monster Consolidated Statements'!L6,0)</f>
        <v>0.18790047539625393</v>
      </c>
      <c r="G53" s="100">
        <f>IFERROR(G52/'Monster Consolidated Statements'!M6,0)</f>
        <v>0.29649581663503582</v>
      </c>
      <c r="H53" s="100">
        <f>IFERROR(H52/'Monster Consolidated Statements'!N6,0)</f>
        <v>0.26177914535783975</v>
      </c>
      <c r="I53" s="100">
        <f>IFERROR(I52/'Monster Consolidated Statements'!O6,0)</f>
        <v>0.25538412210533301</v>
      </c>
      <c r="J53" s="100">
        <f>IFERROR(J52/'Monster Consolidated Statements'!P6,0)</f>
        <v>0.15824546808798778</v>
      </c>
      <c r="K53" s="100">
        <f>IFERROR(K52/'Monster Consolidated Statements'!Q6,0)</f>
        <v>0.29503130852034332</v>
      </c>
      <c r="L53" s="100">
        <f>IFERROR(L52/'Monster Consolidated Statements'!R6,0)</f>
        <v>0.26674039182724385</v>
      </c>
      <c r="M53" s="100">
        <f>IFERROR(M52/'Monster Consolidated Statements'!S6,0)</f>
        <v>0.26797496521315384</v>
      </c>
      <c r="N53" s="100">
        <f>IFERROR(N52/'Monster Consolidated Statements'!T6,0)</f>
        <v>0.26720166234613252</v>
      </c>
      <c r="O53" s="100">
        <f>IFERROR(O52/'Monster Consolidated Statements'!U6,0)</f>
        <v>0.25503421431712925</v>
      </c>
      <c r="P53" s="100">
        <f>IFERROR(P52/'Monster Consolidated Statements'!V6,0)</f>
        <v>0.30326382721664091</v>
      </c>
      <c r="Q53" s="100">
        <f>IFERROR(Q52/'Monster Consolidated Statements'!W6,0)</f>
        <v>0.26893141905938667</v>
      </c>
      <c r="R53" s="100">
        <f>IFERROR(R52/'Monster Consolidated Statements'!X6,0)</f>
        <v>0.3559193583772246</v>
      </c>
      <c r="S53" s="100">
        <f>IFERROR(S52/'Monster Consolidated Statements'!Y6,0)</f>
        <v>0.35582397979249314</v>
      </c>
      <c r="T53" s="100">
        <f>IFERROR(T52/'Monster Consolidated Statements'!Z6,0)</f>
        <v>0.33715715793015466</v>
      </c>
      <c r="U53" s="100">
        <f>IFERROR(U52/'Monster Consolidated Statements'!AA6,0)</f>
        <v>0.33396797148365592</v>
      </c>
      <c r="V53" s="100">
        <f>IFERROR(V52/'Monster Consolidated Statements'!AB6,0)</f>
        <v>0.35513841272133184</v>
      </c>
      <c r="W53" s="100">
        <f>IFERROR(W52/'Monster Consolidated Statements'!AC6,0)</f>
        <v>0.32437336592225147</v>
      </c>
      <c r="X53" s="100">
        <f>IFERROR(X52/'Monster Consolidated Statements'!AD6,0)</f>
        <v>0.25110258990183881</v>
      </c>
      <c r="Y53" s="100">
        <f>IFERROR(Y52/'Monster Consolidated Statements'!AE6,0)</f>
        <v>0.27357809711363834</v>
      </c>
      <c r="Z53" s="100">
        <f>IFERROR(Z52/'Monster Consolidated Statements'!AF6,0)</f>
        <v>0.25762297721691846</v>
      </c>
      <c r="AA53" s="100">
        <f>IFERROR(AA52/'Monster Consolidated Statements'!AG6,0)</f>
        <v>0.29168723791625206</v>
      </c>
    </row>
    <row r="54" spans="1:27">
      <c r="A54" s="103" t="s">
        <v>224</v>
      </c>
      <c r="B54" s="102">
        <f>IFERROR('Monster Consolidated Statements'!H15/'Monster Consolidated Statements'!H6,0)</f>
        <v>0</v>
      </c>
      <c r="C54" s="102">
        <f>IFERROR('Monster Consolidated Statements'!I15/'Monster Consolidated Statements'!I6,0)</f>
        <v>0</v>
      </c>
      <c r="D54" s="102">
        <f>IFERROR('Monster Consolidated Statements'!J15/'Monster Consolidated Statements'!J6,0)</f>
        <v>0</v>
      </c>
      <c r="E54" s="102">
        <f>IFERROR('Monster Consolidated Statements'!K15/'Monster Consolidated Statements'!K6,0)</f>
        <v>0</v>
      </c>
      <c r="F54" s="102">
        <f>IFERROR('Monster Consolidated Statements'!L15/'Monster Consolidated Statements'!L6,0)</f>
        <v>0</v>
      </c>
      <c r="G54" s="102">
        <f>IFERROR('Monster Consolidated Statements'!M15/'Monster Consolidated Statements'!M6,0)</f>
        <v>0</v>
      </c>
      <c r="H54" s="102">
        <f>IFERROR('Monster Consolidated Statements'!N15/'Monster Consolidated Statements'!N6,0)</f>
        <v>5.9758259681003144E-2</v>
      </c>
      <c r="I54" s="102">
        <f>IFERROR('Monster Consolidated Statements'!O15/'Monster Consolidated Statements'!O6,0)</f>
        <v>4.5109539893749342E-2</v>
      </c>
      <c r="J54" s="102">
        <f>IFERROR('Monster Consolidated Statements'!P15/'Monster Consolidated Statements'!P6,0)</f>
        <v>4.3626303468823152E-2</v>
      </c>
      <c r="K54" s="102">
        <f>IFERROR('Monster Consolidated Statements'!Q15/'Monster Consolidated Statements'!Q6,0)</f>
        <v>3.4811540987965531E-2</v>
      </c>
      <c r="L54" s="102">
        <f>IFERROR('Monster Consolidated Statements'!R15/'Monster Consolidated Statements'!R6,0)</f>
        <v>3.6351310104283781E-2</v>
      </c>
      <c r="M54" s="102">
        <f>IFERROR('Monster Consolidated Statements'!S15/'Monster Consolidated Statements'!S6,0)</f>
        <v>3.5520745876951441E-2</v>
      </c>
      <c r="N54" s="102">
        <f>IFERROR('Monster Consolidated Statements'!T15/'Monster Consolidated Statements'!T6,0)</f>
        <v>3.6929162974559157E-2</v>
      </c>
      <c r="O54" s="102">
        <f>IFERROR('Monster Consolidated Statements'!U15/'Monster Consolidated Statements'!U6,0)</f>
        <v>3.7392696316107171E-2</v>
      </c>
      <c r="P54" s="102">
        <f>IFERROR('Monster Consolidated Statements'!V15/'Monster Consolidated Statements'!V6,0)</f>
        <v>3.7608520054023202E-2</v>
      </c>
      <c r="Q54" s="102">
        <f>IFERROR('Monster Consolidated Statements'!W15/'Monster Consolidated Statements'!W6,0)</f>
        <v>3.1955171669059021E-2</v>
      </c>
      <c r="R54" s="102">
        <f>IFERROR('Monster Consolidated Statements'!X15/'Monster Consolidated Statements'!X6,0)</f>
        <v>2.7415292158144259E-2</v>
      </c>
      <c r="S54" s="102">
        <f>IFERROR('Monster Consolidated Statements'!Y15/'Monster Consolidated Statements'!Y6,0)</f>
        <v>2.727775972122664E-2</v>
      </c>
      <c r="T54" s="102">
        <f>IFERROR('Monster Consolidated Statements'!Z15/'Monster Consolidated Statements'!Z6,0)</f>
        <v>3.375198933174476E-2</v>
      </c>
      <c r="U54" s="102">
        <f>IFERROR('Monster Consolidated Statements'!AA15/'Monster Consolidated Statements'!AA6,0)</f>
        <v>2.9160980275512942E-2</v>
      </c>
      <c r="V54" s="102">
        <f>IFERROR('Monster Consolidated Statements'!AB15/'Monster Consolidated Statements'!AB6,0)</f>
        <v>2.9160808047948111E-2</v>
      </c>
      <c r="W54" s="102">
        <f>IFERROR('Monster Consolidated Statements'!AC15/'Monster Consolidated Statements'!AC6,0)</f>
        <v>3.8600688063129718E-2</v>
      </c>
      <c r="X54" s="102">
        <f>IFERROR('Monster Consolidated Statements'!AD15/'Monster Consolidated Statements'!AD6,0)</f>
        <v>3.9486297842672775E-2</v>
      </c>
      <c r="Y54" s="102">
        <f>IFERROR('Monster Consolidated Statements'!AE15/'Monster Consolidated Statements'!AE6,0)</f>
        <v>3.1316408187251954E-2</v>
      </c>
      <c r="Z54" s="102">
        <f>IFERROR('Monster Consolidated Statements'!AF15/'Monster Consolidated Statements'!AF6,0)</f>
        <v>2.9922421917093003E-2</v>
      </c>
      <c r="AA54" s="102">
        <f>IFERROR('Monster Consolidated Statements'!AG15/'Monster Consolidated Statements'!AG6,0)</f>
        <v>2.8573691731822521E-2</v>
      </c>
    </row>
    <row r="55" spans="1:27">
      <c r="A55" s="103" t="s">
        <v>223</v>
      </c>
      <c r="B55" s="102">
        <f>IFERROR('Monster Consolidated Statements'!H17/'Monster Consolidated Statements'!H6,0)</f>
        <v>0</v>
      </c>
      <c r="C55" s="102">
        <f>IFERROR('Monster Consolidated Statements'!I17/'Monster Consolidated Statements'!I6,0)</f>
        <v>0</v>
      </c>
      <c r="D55" s="102">
        <f>IFERROR('Monster Consolidated Statements'!J17/'Monster Consolidated Statements'!J6,0)</f>
        <v>0</v>
      </c>
      <c r="E55" s="102">
        <f>IFERROR('Monster Consolidated Statements'!K17/'Monster Consolidated Statements'!K6,0)</f>
        <v>0</v>
      </c>
      <c r="F55" s="102">
        <f>IFERROR('Monster Consolidated Statements'!L17/'Monster Consolidated Statements'!L6,0)</f>
        <v>0</v>
      </c>
      <c r="G55" s="102">
        <f>IFERROR('Monster Consolidated Statements'!M17/'Monster Consolidated Statements'!M6,0)</f>
        <v>0</v>
      </c>
      <c r="H55" s="102">
        <f>IFERROR('Monster Consolidated Statements'!N17/'Monster Consolidated Statements'!N6,0)</f>
        <v>5.8932869353917471E-2</v>
      </c>
      <c r="I55" s="102">
        <f>IFERROR('Monster Consolidated Statements'!O17/'Monster Consolidated Statements'!O6,0)</f>
        <v>7.363469012067908E-2</v>
      </c>
      <c r="J55" s="102">
        <f>IFERROR('Monster Consolidated Statements'!P17/'Monster Consolidated Statements'!P6,0)</f>
        <v>8.1835593646617272E-2</v>
      </c>
      <c r="K55" s="102">
        <f>IFERROR('Monster Consolidated Statements'!Q17/'Monster Consolidated Statements'!Q6,0)</f>
        <v>7.583318099639727E-2</v>
      </c>
      <c r="L55" s="102">
        <f>IFERROR('Monster Consolidated Statements'!R17/'Monster Consolidated Statements'!R6,0)</f>
        <v>8.0448363500830553E-2</v>
      </c>
      <c r="M55" s="102">
        <f>IFERROR('Monster Consolidated Statements'!S17/'Monster Consolidated Statements'!S6,0)</f>
        <v>8.7363421264303701E-2</v>
      </c>
      <c r="N55" s="102">
        <f>IFERROR('Monster Consolidated Statements'!T17/'Monster Consolidated Statements'!T6,0)</f>
        <v>8.0263910065599006E-2</v>
      </c>
      <c r="O55" s="102">
        <f>IFERROR('Monster Consolidated Statements'!U17/'Monster Consolidated Statements'!U6,0)</f>
        <v>8.0928478455574812E-2</v>
      </c>
      <c r="P55" s="102">
        <f>IFERROR('Monster Consolidated Statements'!V17/'Monster Consolidated Statements'!V6,0)</f>
        <v>6.9577790606957693E-2</v>
      </c>
      <c r="Q55" s="102">
        <f>IFERROR('Monster Consolidated Statements'!W17/'Monster Consolidated Statements'!W6,0)</f>
        <v>7.702298274714571E-2</v>
      </c>
      <c r="R55" s="102">
        <f>IFERROR('Monster Consolidated Statements'!X17/'Monster Consolidated Statements'!X6,0)</f>
        <v>8.8738971985572207E-2</v>
      </c>
      <c r="S55" s="102">
        <f>IFERROR('Monster Consolidated Statements'!Y17/'Monster Consolidated Statements'!Y6,0)</f>
        <v>9.6169686068307197E-2</v>
      </c>
      <c r="T55" s="102">
        <f>IFERROR('Monster Consolidated Statements'!Z17/'Monster Consolidated Statements'!Z6,0)</f>
        <v>9.2955867894976424E-2</v>
      </c>
      <c r="U55" s="102">
        <f>IFERROR('Monster Consolidated Statements'!AA17/'Monster Consolidated Statements'!AA6,0)</f>
        <v>9.3219917354211174E-2</v>
      </c>
      <c r="V55" s="102">
        <f>IFERROR('Monster Consolidated Statements'!AB17/'Monster Consolidated Statements'!AB6,0)</f>
        <v>7.5174432081846848E-2</v>
      </c>
      <c r="W55" s="102">
        <f>IFERROR('Monster Consolidated Statements'!AC17/'Monster Consolidated Statements'!AC6,0)</f>
        <v>7.5360670103613706E-2</v>
      </c>
      <c r="X55" s="102">
        <f>IFERROR('Monster Consolidated Statements'!AD17/'Monster Consolidated Statements'!AD6,0)</f>
        <v>7.2998946292613748E-2</v>
      </c>
      <c r="Y55" s="102">
        <f>IFERROR('Monster Consolidated Statements'!AE17/'Monster Consolidated Statements'!AE6,0)</f>
        <v>7.4075350135230575E-2</v>
      </c>
      <c r="Z55" s="102">
        <f>IFERROR('Monster Consolidated Statements'!AF17/'Monster Consolidated Statements'!AF6,0)</f>
        <v>7.7955783415584401E-2</v>
      </c>
      <c r="AA55" s="102">
        <f>IFERROR('Monster Consolidated Statements'!AG17/'Monster Consolidated Statements'!AG6,0)</f>
        <v>7.2326403670549919E-2</v>
      </c>
    </row>
    <row r="56" spans="1:27">
      <c r="A56" s="103" t="s">
        <v>222</v>
      </c>
      <c r="B56" s="102">
        <f>IFERROR('Monster Consolidated Statements'!H19/'Monster Consolidated Statements'!H6,0)</f>
        <v>4.6541877813282414E-3</v>
      </c>
      <c r="C56" s="102">
        <f>IFERROR('Monster Consolidated Statements'!I19/'Monster Consolidated Statements'!I6,0)</f>
        <v>5.4989443995982924E-3</v>
      </c>
      <c r="D56" s="102">
        <f>IFERROR('Monster Consolidated Statements'!J19/'Monster Consolidated Statements'!J6,0)</f>
        <v>5.9315760898837196E-4</v>
      </c>
      <c r="E56" s="102">
        <f>IFERROR('Monster Consolidated Statements'!K19/'Monster Consolidated Statements'!K6,0)</f>
        <v>5.6052350784213851E-4</v>
      </c>
      <c r="F56" s="102">
        <f>IFERROR('Monster Consolidated Statements'!L19/'Monster Consolidated Statements'!L6,0)</f>
        <v>4.0513774076000268E-4</v>
      </c>
      <c r="G56" s="102">
        <f>IFERROR('Monster Consolidated Statements'!M19/'Monster Consolidated Statements'!M6,0)</f>
        <v>2.0081896808772014E-4</v>
      </c>
      <c r="H56" s="102">
        <f>IFERROR('Monster Consolidated Statements'!N19/'Monster Consolidated Statements'!N6,0)</f>
        <v>0.14215697603396646</v>
      </c>
      <c r="I56" s="102">
        <f>IFERROR('Monster Consolidated Statements'!O19/'Monster Consolidated Statements'!O6,0)</f>
        <v>0.14331897862272172</v>
      </c>
      <c r="J56" s="102">
        <f>IFERROR('Monster Consolidated Statements'!P19/'Monster Consolidated Statements'!P6,0)</f>
        <v>0.2374808953549111</v>
      </c>
      <c r="K56" s="102">
        <f>IFERROR('Monster Consolidated Statements'!Q19/'Monster Consolidated Statements'!Q6,0)</f>
        <v>0.12989340496230645</v>
      </c>
      <c r="L56" s="102">
        <f>IFERROR('Monster Consolidated Statements'!R19/'Monster Consolidated Statements'!R6,0)</f>
        <v>0.13813957982793712</v>
      </c>
      <c r="M56" s="102">
        <f>IFERROR('Monster Consolidated Statements'!S19/'Monster Consolidated Statements'!S6,0)</f>
        <v>0.13420735895915409</v>
      </c>
      <c r="N56" s="102">
        <f>IFERROR('Monster Consolidated Statements'!T19/'Monster Consolidated Statements'!T6,0)</f>
        <v>0.13273777576767529</v>
      </c>
      <c r="O56" s="102">
        <f>IFERROR('Monster Consolidated Statements'!U19/'Monster Consolidated Statements'!U6,0)</f>
        <v>0.1487761904677114</v>
      </c>
      <c r="P56" s="102">
        <f>IFERROR('Monster Consolidated Statements'!V19/'Monster Consolidated Statements'!V6,0)</f>
        <v>0.13311265881688544</v>
      </c>
      <c r="Q56" s="102">
        <f>IFERROR('Monster Consolidated Statements'!W19/'Monster Consolidated Statements'!W6,0)</f>
        <v>0.22163592848506042</v>
      </c>
      <c r="R56" s="102">
        <f>IFERROR('Monster Consolidated Statements'!X19/'Monster Consolidated Statements'!X6,0)</f>
        <v>0.16477443215748183</v>
      </c>
      <c r="S56" s="102">
        <f>IFERROR('Monster Consolidated Statements'!Y19/'Monster Consolidated Statements'!Y6,0)</f>
        <v>0.15523776025550268</v>
      </c>
      <c r="T56" s="102">
        <f>IFERROR('Monster Consolidated Statements'!Z19/'Monster Consolidated Statements'!Z6,0)</f>
        <v>0.13904138571747143</v>
      </c>
      <c r="U56" s="102">
        <f>IFERROR('Monster Consolidated Statements'!AA19/'Monster Consolidated Statements'!AA6,0)</f>
        <v>0.14319731461888741</v>
      </c>
      <c r="V56" s="102">
        <f>IFERROR('Monster Consolidated Statements'!AB19/'Monster Consolidated Statements'!AB6,0)</f>
        <v>0.13284955241095298</v>
      </c>
      <c r="W56" s="102">
        <f>IFERROR('Monster Consolidated Statements'!AC19/'Monster Consolidated Statements'!AC6,0)</f>
        <v>0.12263180537890392</v>
      </c>
      <c r="X56" s="102">
        <f>IFERROR('Monster Consolidated Statements'!AD19/'Monster Consolidated Statements'!AD6,0)</f>
        <v>0.13942941348903906</v>
      </c>
      <c r="Y56" s="102">
        <f>IFERROR('Monster Consolidated Statements'!AE19/'Monster Consolidated Statements'!AE6,0)</f>
        <v>0.15242953563060757</v>
      </c>
      <c r="Z56" s="102">
        <f>IFERROR('Monster Consolidated Statements'!AF19/'Monster Consolidated Statements'!AF6,0)</f>
        <v>0.17487453469766409</v>
      </c>
      <c r="AA56" s="102">
        <f>IFERROR('Monster Consolidated Statements'!AG19/'Monster Consolidated Statements'!AG6,0)</f>
        <v>0.16588908850285067</v>
      </c>
    </row>
    <row r="57" spans="1:27">
      <c r="A57" s="103" t="s">
        <v>221</v>
      </c>
      <c r="B57" s="102">
        <f>IFERROR('Monster Consolidated Statements'!H21/'Monster Consolidated Statements'!H6,0)</f>
        <v>0.37858615841084742</v>
      </c>
      <c r="C57" s="102">
        <f>IFERROR('Monster Consolidated Statements'!I21/'Monster Consolidated Statements'!I6,0)</f>
        <v>0.38224653737808084</v>
      </c>
      <c r="D57" s="102">
        <f>IFERROR('Monster Consolidated Statements'!J21/'Monster Consolidated Statements'!J6,0)</f>
        <v>0.30366001863278425</v>
      </c>
      <c r="E57" s="102">
        <f>IFERROR('Monster Consolidated Statements'!K21/'Monster Consolidated Statements'!K6,0)</f>
        <v>0.30764136311342644</v>
      </c>
      <c r="F57" s="102">
        <f>IFERROR('Monster Consolidated Statements'!L21/'Monster Consolidated Statements'!L6,0)</f>
        <v>0.27492452013235913</v>
      </c>
      <c r="G57" s="102">
        <f>IFERROR('Monster Consolidated Statements'!M21/'Monster Consolidated Statements'!M6,0)</f>
        <v>0.22672109806664098</v>
      </c>
      <c r="H57" s="102">
        <f>IFERROR('Monster Consolidated Statements'!N21/'Monster Consolidated Statements'!N6,0)</f>
        <v>0.26084810506888706</v>
      </c>
      <c r="I57" s="102">
        <f>IFERROR('Monster Consolidated Statements'!O21/'Monster Consolidated Statements'!O6,0)</f>
        <v>0.26206320863715016</v>
      </c>
      <c r="J57" s="102">
        <f>IFERROR('Monster Consolidated Statements'!P21/'Monster Consolidated Statements'!P6,0)</f>
        <v>0.36294279247035155</v>
      </c>
      <c r="K57" s="102">
        <f>IFERROR('Monster Consolidated Statements'!Q21/'Monster Consolidated Statements'!Q6,0)</f>
        <v>0.24053812694666923</v>
      </c>
      <c r="L57" s="102">
        <f>IFERROR('Monster Consolidated Statements'!R21/'Monster Consolidated Statements'!R6,0)</f>
        <v>0.25493925343305146</v>
      </c>
      <c r="M57" s="102">
        <f>IFERROR('Monster Consolidated Statements'!S21/'Monster Consolidated Statements'!S6,0)</f>
        <v>0.2570915261004092</v>
      </c>
      <c r="N57" s="102">
        <f>IFERROR('Monster Consolidated Statements'!T21/'Monster Consolidated Statements'!T6,0)</f>
        <v>0.24993084880783345</v>
      </c>
      <c r="O57" s="102">
        <f>IFERROR('Monster Consolidated Statements'!U21/'Monster Consolidated Statements'!U6,0)</f>
        <v>0.26709736523939337</v>
      </c>
      <c r="P57" s="102">
        <f>IFERROR('Monster Consolidated Statements'!V21/'Monster Consolidated Statements'!V6,0)</f>
        <v>0.24029896947786636</v>
      </c>
      <c r="Q57" s="102">
        <f>IFERROR('Monster Consolidated Statements'!W21/'Monster Consolidated Statements'!W6,0)</f>
        <v>0.33061408290126515</v>
      </c>
      <c r="R57" s="102">
        <f>IFERROR('Monster Consolidated Statements'!X21/'Monster Consolidated Statements'!X6,0)</f>
        <v>0.28092869630119832</v>
      </c>
      <c r="S57" s="102">
        <f>IFERROR('Monster Consolidated Statements'!Y21/'Monster Consolidated Statements'!Y6,0)</f>
        <v>0.27868520604503649</v>
      </c>
      <c r="T57" s="102">
        <f>IFERROR('Monster Consolidated Statements'!Z21/'Monster Consolidated Statements'!Z6,0)</f>
        <v>0.26574924294419261</v>
      </c>
      <c r="U57" s="102">
        <f>IFERROR('Monster Consolidated Statements'!AA21/'Monster Consolidated Statements'!AA6,0)</f>
        <v>0.2655782122486115</v>
      </c>
      <c r="V57" s="102">
        <f>IFERROR('Monster Consolidated Statements'!AB21/'Monster Consolidated Statements'!AB6,0)</f>
        <v>0.23718479254074792</v>
      </c>
      <c r="W57" s="102">
        <f>IFERROR('Monster Consolidated Statements'!AC21/'Monster Consolidated Statements'!AC6,0)</f>
        <v>0.23659316354564736</v>
      </c>
      <c r="X57" s="102">
        <f>IFERROR('Monster Consolidated Statements'!AD21/'Monster Consolidated Statements'!AD6,0)</f>
        <v>0.25191465762432558</v>
      </c>
      <c r="Y57" s="102">
        <f>IFERROR('Monster Consolidated Statements'!AE21/'Monster Consolidated Statements'!AE6,0)</f>
        <v>0.25782129395309011</v>
      </c>
      <c r="Z57" s="102">
        <f>IFERROR('Monster Consolidated Statements'!AF21/'Monster Consolidated Statements'!AF6,0)</f>
        <v>0.28275274003034151</v>
      </c>
      <c r="AA57" s="102">
        <f>IFERROR('Monster Consolidated Statements'!AG21/'Monster Consolidated Statements'!AG6,0)</f>
        <v>0.2667891839052231</v>
      </c>
    </row>
    <row r="58" spans="1:27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</row>
    <row r="59" spans="1:27">
      <c r="A59" s="106" t="s">
        <v>220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</row>
    <row r="60" spans="1:27">
      <c r="A60" s="103" t="s">
        <v>219</v>
      </c>
      <c r="B60" s="105">
        <f>'Monster Consolidated Statements'!H51</f>
        <v>6584.4859999999999</v>
      </c>
      <c r="C60" s="105">
        <f>'Monster Consolidated Statements'!I51</f>
        <v>4412.4219999999996</v>
      </c>
      <c r="D60" s="105">
        <f>'Monster Consolidated Statements'!J51</f>
        <v>5949.402</v>
      </c>
      <c r="E60" s="105">
        <f>'Monster Consolidated Statements'!K51</f>
        <v>5372.9830000000002</v>
      </c>
      <c r="F60" s="105">
        <f>'Monster Consolidated Statements'!L51</f>
        <v>12650.055</v>
      </c>
      <c r="G60" s="105">
        <f>'Monster Consolidated Statements'!M51</f>
        <v>28751.588</v>
      </c>
      <c r="H60" s="105">
        <f>'Monster Consolidated Statements'!N51</f>
        <v>54624</v>
      </c>
      <c r="I60" s="105">
        <f>'Monster Consolidated Statements'!O51</f>
        <v>81497</v>
      </c>
      <c r="J60" s="105">
        <f>'Monster Consolidated Statements'!P51</f>
        <v>135955</v>
      </c>
      <c r="K60" s="105">
        <f>'Monster Consolidated Statements'!Q51</f>
        <v>108905</v>
      </c>
      <c r="L60" s="105">
        <f>'Monster Consolidated Statements'!R51</f>
        <v>101635</v>
      </c>
      <c r="M60" s="105">
        <f>'Monster Consolidated Statements'!S51</f>
        <v>218741</v>
      </c>
      <c r="N60" s="105">
        <f>'Monster Consolidated Statements'!T51</f>
        <v>236710</v>
      </c>
      <c r="O60" s="105">
        <f>'Monster Consolidated Statements'!U51</f>
        <v>296180</v>
      </c>
      <c r="P60" s="105">
        <f>'Monster Consolidated Statements'!V51</f>
        <v>280755</v>
      </c>
      <c r="Q60" s="105">
        <f>'Monster Consolidated Statements'!W51</f>
        <v>477955</v>
      </c>
      <c r="R60" s="105">
        <f>'Monster Consolidated Statements'!X51</f>
        <v>573051</v>
      </c>
      <c r="S60" s="105">
        <f>'Monster Consolidated Statements'!Y51</f>
        <v>449476</v>
      </c>
      <c r="T60" s="105">
        <f>'Monster Consolidated Statements'!Z51</f>
        <v>484562</v>
      </c>
      <c r="U60" s="105">
        <f>'Monster Consolidated Statements'!AA51</f>
        <v>540330</v>
      </c>
      <c r="V60" s="105">
        <f>'Monster Consolidated Statements'!AB51</f>
        <v>666012</v>
      </c>
      <c r="W60" s="105">
        <f>'Monster Consolidated Statements'!AC51</f>
        <v>896658</v>
      </c>
      <c r="X60" s="105">
        <f>'Monster Consolidated Statements'!AD51</f>
        <v>1016203</v>
      </c>
      <c r="Y60" s="105">
        <f>'Monster Consolidated Statements'!AE51</f>
        <v>1193964</v>
      </c>
      <c r="Z60" s="105">
        <f>'Monster Consolidated Statements'!AF51</f>
        <v>1221646</v>
      </c>
      <c r="AA60" s="105">
        <f>'Monster Consolidated Statements'!AG51</f>
        <v>1618072</v>
      </c>
    </row>
    <row r="61" spans="1:27">
      <c r="A61" s="103" t="s">
        <v>218</v>
      </c>
      <c r="B61" s="105">
        <f>'Monster Consolidated Statements'!H53</f>
        <v>10907.895</v>
      </c>
      <c r="C61" s="105">
        <f>'Monster Consolidated Statements'!I53</f>
        <v>11956.68</v>
      </c>
      <c r="D61" s="105">
        <f>'Monster Consolidated Statements'!J53</f>
        <v>11643.734</v>
      </c>
      <c r="E61" s="105">
        <f>'Monster Consolidated Statements'!K53</f>
        <v>17643.786</v>
      </c>
      <c r="F61" s="105">
        <f>'Monster Consolidated Statements'!L53</f>
        <v>22406.054</v>
      </c>
      <c r="G61" s="105">
        <f>'Monster Consolidated Statements'!M53</f>
        <v>31399.628000000001</v>
      </c>
      <c r="H61" s="105">
        <f>'Monster Consolidated Statements'!N53</f>
        <v>77013</v>
      </c>
      <c r="I61" s="105">
        <f>'Monster Consolidated Statements'!O53</f>
        <v>98140</v>
      </c>
      <c r="J61" s="105">
        <f>'Monster Consolidated Statements'!P53</f>
        <v>116326</v>
      </c>
      <c r="K61" s="105">
        <f>'Monster Consolidated Statements'!Q53</f>
        <v>108143</v>
      </c>
      <c r="L61" s="105">
        <f>'Monster Consolidated Statements'!R53</f>
        <v>153241</v>
      </c>
      <c r="M61" s="105">
        <f>'Monster Consolidated Statements'!S53</f>
        <v>155613</v>
      </c>
      <c r="N61" s="105">
        <f>'Monster Consolidated Statements'!T53</f>
        <v>203106</v>
      </c>
      <c r="O61" s="105">
        <f>'Monster Consolidated Statements'!U53</f>
        <v>221449</v>
      </c>
      <c r="P61" s="105">
        <f>'Monster Consolidated Statements'!V53</f>
        <v>174573</v>
      </c>
      <c r="Q61" s="105">
        <f>'Monster Consolidated Statements'!W53</f>
        <v>156121</v>
      </c>
      <c r="R61" s="105">
        <f>'Monster Consolidated Statements'!X53</f>
        <v>161971</v>
      </c>
      <c r="S61" s="105">
        <f>'Monster Consolidated Statements'!Y53</f>
        <v>255745</v>
      </c>
      <c r="T61" s="105">
        <f>'Monster Consolidated Statements'!Z53</f>
        <v>277705</v>
      </c>
      <c r="U61" s="105">
        <f>'Monster Consolidated Statements'!AA53</f>
        <v>360731</v>
      </c>
      <c r="V61" s="105">
        <f>'Monster Consolidated Statements'!AB53</f>
        <v>333085</v>
      </c>
      <c r="W61" s="105">
        <f>'Monster Consolidated Statements'!AC53</f>
        <v>593357</v>
      </c>
      <c r="X61" s="105">
        <f>'Monster Consolidated Statements'!AD53</f>
        <v>935631</v>
      </c>
      <c r="Y61" s="105">
        <f>'Monster Consolidated Statements'!AE53</f>
        <v>971406</v>
      </c>
      <c r="Z61" s="105">
        <f>'Monster Consolidated Statements'!AF53</f>
        <v>737107</v>
      </c>
      <c r="AA61" s="105">
        <f>'Monster Consolidated Statements'!AG53</f>
        <v>799623</v>
      </c>
    </row>
    <row r="62" spans="1:27">
      <c r="A62" s="103" t="s">
        <v>217</v>
      </c>
      <c r="B62" s="105">
        <f>'Monster Consolidated Statements'!H75</f>
        <v>3681.9560000000001</v>
      </c>
      <c r="C62" s="105">
        <f>'Monster Consolidated Statements'!I75</f>
        <v>3919.741</v>
      </c>
      <c r="D62" s="105">
        <f>'Monster Consolidated Statements'!J75</f>
        <v>4732.2610000000004</v>
      </c>
      <c r="E62" s="105">
        <f>'Monster Consolidated Statements'!K75</f>
        <v>6521.402</v>
      </c>
      <c r="F62" s="105">
        <f>'Monster Consolidated Statements'!L75</f>
        <v>14542.753000000001</v>
      </c>
      <c r="G62" s="105">
        <f>'Monster Consolidated Statements'!M75</f>
        <v>26613.663</v>
      </c>
      <c r="H62" s="105">
        <f>'Monster Consolidated Statements'!N75</f>
        <v>34362</v>
      </c>
      <c r="I62" s="105">
        <f>'Monster Consolidated Statements'!O75</f>
        <v>56766</v>
      </c>
      <c r="J62" s="105">
        <f>'Monster Consolidated Statements'!P75</f>
        <v>64787</v>
      </c>
      <c r="K62" s="105">
        <f>'Monster Consolidated Statements'!Q75</f>
        <v>48863</v>
      </c>
      <c r="L62" s="105">
        <f>'Monster Consolidated Statements'!R75</f>
        <v>85674</v>
      </c>
      <c r="M62" s="105">
        <f>'Monster Consolidated Statements'!S75</f>
        <v>113446</v>
      </c>
      <c r="N62" s="105">
        <f>'Monster Consolidated Statements'!T75</f>
        <v>127330</v>
      </c>
      <c r="O62" s="105">
        <f>'Monster Consolidated Statements'!U75</f>
        <v>119376</v>
      </c>
      <c r="P62" s="105">
        <f>'Monster Consolidated Statements'!V75</f>
        <v>127641</v>
      </c>
      <c r="Q62" s="105">
        <f>'Monster Consolidated Statements'!W75</f>
        <v>144763</v>
      </c>
      <c r="R62" s="105">
        <f>'Monster Consolidated Statements'!X75</f>
        <v>193270</v>
      </c>
      <c r="S62" s="105">
        <f>'Monster Consolidated Statements'!Y75</f>
        <v>245910</v>
      </c>
      <c r="T62" s="105">
        <f>'Monster Consolidated Statements'!Z75</f>
        <v>248760</v>
      </c>
      <c r="U62" s="105">
        <f>'Monster Consolidated Statements'!AA75</f>
        <v>274045</v>
      </c>
      <c r="V62" s="105">
        <f>'Monster Consolidated Statements'!AB75</f>
        <v>296800</v>
      </c>
      <c r="W62" s="105">
        <f>'Monster Consolidated Statements'!AC75</f>
        <v>404263</v>
      </c>
      <c r="X62" s="105">
        <f>'Monster Consolidated Statements'!AD75</f>
        <v>444265</v>
      </c>
      <c r="Y62" s="105">
        <f>'Monster Consolidated Statements'!AE75</f>
        <v>564379</v>
      </c>
      <c r="Z62" s="105">
        <f>'Monster Consolidated Statements'!AF75</f>
        <v>466775</v>
      </c>
      <c r="AA62" s="105">
        <f>'Monster Consolidated Statements'!AG75</f>
        <v>565974</v>
      </c>
    </row>
    <row r="63" spans="1:27">
      <c r="A63" s="103" t="s">
        <v>216</v>
      </c>
      <c r="B63" s="108">
        <f>IFERROR(AVERAGE('Monster Consolidated Statements'!G51,'Monster Consolidated Statements'!H51)/'Monster Consolidated Statements'!H6*365,0)</f>
        <v>23.65745882282765</v>
      </c>
      <c r="C63" s="108">
        <f>IFERROR(AVERAGE('Monster Consolidated Statements'!H51,'Monster Consolidated Statements'!I51)/'Monster Consolidated Statements'!I6*365,0)</f>
        <v>21.748396134443897</v>
      </c>
      <c r="D63" s="108">
        <f>IFERROR(AVERAGE('Monster Consolidated Statements'!I51,'Monster Consolidated Statements'!J51)/'Monster Consolidated Statements'!J6*365,0)</f>
        <v>20.544352203729684</v>
      </c>
      <c r="E63" s="108">
        <f>IFERROR(AVERAGE('Monster Consolidated Statements'!J51,'Monster Consolidated Statements'!K51)/'Monster Consolidated Statements'!K6*365,0)</f>
        <v>18.724912936938747</v>
      </c>
      <c r="F63" s="108">
        <f>IFERROR(AVERAGE('Monster Consolidated Statements'!K51,'Monster Consolidated Statements'!L51)/'Monster Consolidated Statements'!L6*365,0)</f>
        <v>18.238791915111324</v>
      </c>
      <c r="G63" s="108">
        <f>IFERROR(AVERAGE('Monster Consolidated Statements'!L51,'Monster Consolidated Statements'!M51)/'Monster Consolidated Statements'!M6*365,0)</f>
        <v>21.656907760906883</v>
      </c>
      <c r="H63" s="108">
        <f>IFERROR(AVERAGE('Monster Consolidated Statements'!M51,'Monster Consolidated Statements'!N51)/'Monster Consolidated Statements'!N6*365,0)</f>
        <v>25.118352405352493</v>
      </c>
      <c r="I63" s="108">
        <f>IFERROR(AVERAGE('Monster Consolidated Statements'!N51,'Monster Consolidated Statements'!O51)/'Monster Consolidated Statements'!O6*365,0)</f>
        <v>27.466051754352019</v>
      </c>
      <c r="J63" s="108">
        <f>IFERROR(AVERAGE('Monster Consolidated Statements'!O51,'Monster Consolidated Statements'!P51)/'Monster Consolidated Statements'!P6*365,0)</f>
        <v>38.388235407920448</v>
      </c>
      <c r="K63" s="108">
        <f>IFERROR(AVERAGE('Monster Consolidated Statements'!P51,'Monster Consolidated Statements'!Q51)/'Monster Consolidated Statements'!Q6*365,0)</f>
        <v>39.085969636989098</v>
      </c>
      <c r="L63" s="108">
        <f>IFERROR(AVERAGE('Monster Consolidated Statements'!Q51,'Monster Consolidated Statements'!R51)/'Monster Consolidated Statements'!R6*365,0)</f>
        <v>29.467223235389305</v>
      </c>
      <c r="M63" s="108">
        <f>IFERROR(AVERAGE('Monster Consolidated Statements'!R51,'Monster Consolidated Statements'!S51)/'Monster Consolidated Statements'!S6*365,0)</f>
        <v>34.328082525554386</v>
      </c>
      <c r="N63" s="108">
        <f>IFERROR(AVERAGE('Monster Consolidated Statements'!S51,'Monster Consolidated Statements'!T51)/'Monster Consolidated Statements'!T6*365,0)</f>
        <v>40.335675658100975</v>
      </c>
      <c r="O63" s="108">
        <f>IFERROR(AVERAGE('Monster Consolidated Statements'!T51,'Monster Consolidated Statements'!U51)/'Monster Consolidated Statements'!U6*365,0)</f>
        <v>43.292028500357013</v>
      </c>
      <c r="P63" s="108">
        <f>IFERROR(AVERAGE('Monster Consolidated Statements'!U51,'Monster Consolidated Statements'!V51)/'Monster Consolidated Statements'!V6*365,0)</f>
        <v>42.716559351883895</v>
      </c>
      <c r="Q63" s="108">
        <f>IFERROR(AVERAGE('Monster Consolidated Statements'!V51,'Monster Consolidated Statements'!W51)/'Monster Consolidated Statements'!W6*365,0)</f>
        <v>50.858152462164341</v>
      </c>
      <c r="R63" s="108">
        <f>IFERROR(AVERAGE('Monster Consolidated Statements'!W51,'Monster Consolidated Statements'!X51)/'Monster Consolidated Statements'!X6*365,0)</f>
        <v>62.900582181437429</v>
      </c>
      <c r="S63" s="108">
        <f>IFERROR(AVERAGE('Monster Consolidated Statements'!X51,'Monster Consolidated Statements'!Y51)/'Monster Consolidated Statements'!Y6*365,0)</f>
        <v>55.389933200654788</v>
      </c>
      <c r="T63" s="108">
        <f>IFERROR(AVERAGE('Monster Consolidated Statements'!Y51,'Monster Consolidated Statements'!Z51)/'Monster Consolidated Statements'!Z6*365,0)</f>
        <v>44.773769739988857</v>
      </c>
      <c r="U63" s="108">
        <f>IFERROR(AVERAGE('Monster Consolidated Statements'!Z51,'Monster Consolidated Statements'!AA51)/'Monster Consolidated Statements'!AA6*365,0)</f>
        <v>44.525315182587015</v>
      </c>
      <c r="V63" s="108">
        <f>IFERROR(AVERAGE('Monster Consolidated Statements'!AA51,'Monster Consolidated Statements'!AB51)/'Monster Consolidated Statements'!AB6*365,0)</f>
        <v>47.87448261854923</v>
      </c>
      <c r="W63" s="108">
        <f>IFERROR(AVERAGE('Monster Consolidated Statements'!AB51,'Monster Consolidated Statements'!AC51)/'Monster Consolidated Statements'!AC6*365,0)</f>
        <v>51.465287713179023</v>
      </c>
      <c r="X63" s="108">
        <f>IFERROR(AVERAGE('Monster Consolidated Statements'!AC51,'Monster Consolidated Statements'!AD51)/'Monster Consolidated Statements'!AD6*365,0)</f>
        <v>55.315222110425367</v>
      </c>
      <c r="Y63" s="108">
        <f>IFERROR(AVERAGE('Monster Consolidated Statements'!AD51,'Monster Consolidated Statements'!AE51)/'Monster Consolidated Statements'!AE6*365,0)</f>
        <v>56.492150169740249</v>
      </c>
      <c r="Z63" s="108">
        <f>IFERROR(AVERAGE('Monster Consolidated Statements'!AE51,'Monster Consolidated Statements'!AF51)/'Monster Consolidated Statements'!AF6*365,0)</f>
        <v>58.83704078191213</v>
      </c>
      <c r="AA63" s="108">
        <f>IFERROR(AVERAGE('Monster Consolidated Statements'!AF51,'Monster Consolidated Statements'!AG51)/'Monster Consolidated Statements'!AG6*365,0)</f>
        <v>62.48216826817989</v>
      </c>
    </row>
    <row r="64" spans="1:27">
      <c r="A64" s="103" t="s">
        <v>215</v>
      </c>
      <c r="B64" s="108">
        <f>IFERROR(AVERAGE('Monster Consolidated Statements'!G53,'Monster Consolidated Statements'!H53)/'Monster Consolidated Statements'!H8*365,0)</f>
        <v>89.020333108251307</v>
      </c>
      <c r="C64" s="108">
        <f>IFERROR(AVERAGE('Monster Consolidated Statements'!H53,'Monster Consolidated Statements'!I53)/'Monster Consolidated Statements'!I8*365,0)</f>
        <v>81.095484418127015</v>
      </c>
      <c r="D64" s="108">
        <f>IFERROR(AVERAGE('Monster Consolidated Statements'!I53,'Monster Consolidated Statements'!J53)/'Monster Consolidated Statements'!J8*365,0)</f>
        <v>73.246259536280576</v>
      </c>
      <c r="E64" s="108">
        <f>IFERROR(AVERAGE('Monster Consolidated Statements'!J53,'Monster Consolidated Statements'!K53)/'Monster Consolidated Statements'!K8*365,0)</f>
        <v>80.28236346730759</v>
      </c>
      <c r="F64" s="108">
        <f>IFERROR(AVERAGE('Monster Consolidated Statements'!K53,'Monster Consolidated Statements'!L53)/'Monster Consolidated Statements'!L8*365,0)</f>
        <v>75.448925545614301</v>
      </c>
      <c r="G64" s="108">
        <f>IFERROR(AVERAGE('Monster Consolidated Statements'!L53,'Monster Consolidated Statements'!M53)/'Monster Consolidated Statements'!M8*365,0)</f>
        <v>59.031819789502812</v>
      </c>
      <c r="H64" s="108">
        <f>IFERROR(AVERAGE('Monster Consolidated Statements'!M53,'Monster Consolidated Statements'!N53)/'Monster Consolidated Statements'!N8*365,0)</f>
        <v>68.418647935541884</v>
      </c>
      <c r="I64" s="108">
        <f>IFERROR(AVERAGE('Monster Consolidated Statements'!N53,'Monster Consolidated Statements'!O53)/'Monster Consolidated Statements'!O8*365,0)</f>
        <v>73.239262278555259</v>
      </c>
      <c r="J64" s="108">
        <f>IFERROR(AVERAGE('Monster Consolidated Statements'!O53,'Monster Consolidated Statements'!P53)/'Monster Consolidated Statements'!P8*365,0)</f>
        <v>79.073034388851397</v>
      </c>
      <c r="K64" s="108">
        <f>IFERROR(AVERAGE('Monster Consolidated Statements'!P53,'Monster Consolidated Statements'!Q53)/'Monster Consolidated Statements'!Q8*365,0)</f>
        <v>77.150478452229166</v>
      </c>
      <c r="L64" s="108">
        <f>IFERROR(AVERAGE('Monster Consolidated Statements'!Q53,'Monster Consolidated Statements'!R53)/'Monster Consolidated Statements'!R8*365,0)</f>
        <v>76.482967827584332</v>
      </c>
      <c r="M64" s="108">
        <f>IFERROR(AVERAGE('Monster Consolidated Statements'!R53,'Monster Consolidated Statements'!S53)/'Monster Consolidated Statements'!S8*365,0)</f>
        <v>69.680296345378594</v>
      </c>
      <c r="N64" s="108">
        <f>IFERROR(AVERAGE('Monster Consolidated Statements'!S53,'Monster Consolidated Statements'!T53)/'Monster Consolidated Statements'!T8*365,0)</f>
        <v>65.792151820116857</v>
      </c>
      <c r="O64" s="108">
        <f>IFERROR(AVERAGE('Monster Consolidated Statements'!T53,'Monster Consolidated Statements'!U53)/'Monster Consolidated Statements'!U8*365,0)</f>
        <v>72.176529137948222</v>
      </c>
      <c r="P64" s="108">
        <f>IFERROR(AVERAGE('Monster Consolidated Statements'!U53,'Monster Consolidated Statements'!V53)/'Monster Consolidated Statements'!V8*365,0)</f>
        <v>64.240314046310544</v>
      </c>
      <c r="Q64" s="108">
        <f>IFERROR(AVERAGE('Monster Consolidated Statements'!V53,'Monster Consolidated Statements'!W53)/'Monster Consolidated Statements'!W8*365,0)</f>
        <v>55.355134495071368</v>
      </c>
      <c r="R64" s="108">
        <f>IFERROR(AVERAGE('Monster Consolidated Statements'!W53,'Monster Consolidated Statements'!X53)/'Monster Consolidated Statements'!X8*365,0)</f>
        <v>52.422030841805935</v>
      </c>
      <c r="S64" s="108">
        <f>IFERROR(AVERAGE('Monster Consolidated Statements'!X53,'Monster Consolidated Statements'!Y53)/'Monster Consolidated Statements'!Y8*365,0)</f>
        <v>61.909985341351593</v>
      </c>
      <c r="T64" s="108">
        <f>IFERROR(AVERAGE('Monster Consolidated Statements'!Y53,'Monster Consolidated Statements'!Z53)/'Monster Consolidated Statements'!Z8*365,0)</f>
        <v>64.396156787105241</v>
      </c>
      <c r="U64" s="108">
        <f>IFERROR(AVERAGE('Monster Consolidated Statements'!Z53,'Monster Consolidated Statements'!AA53)/'Monster Consolidated Statements'!AA8*365,0)</f>
        <v>69.261808999223646</v>
      </c>
      <c r="V64" s="108">
        <f>IFERROR(AVERAGE('Monster Consolidated Statements'!AA53,'Monster Consolidated Statements'!AB53)/'Monster Consolidated Statements'!AB8*365,0)</f>
        <v>67.540141180888412</v>
      </c>
      <c r="W64" s="108">
        <f>IFERROR(AVERAGE('Monster Consolidated Statements'!AB53,'Monster Consolidated Statements'!AC53)/'Monster Consolidated Statements'!AC8*365,0)</f>
        <v>69.497268417679919</v>
      </c>
      <c r="X64" s="108">
        <f>IFERROR(AVERAGE('Monster Consolidated Statements'!AC53,'Monster Consolidated Statements'!AD53)/'Monster Consolidated Statements'!AD8*365,0)</f>
        <v>88.965988337893108</v>
      </c>
      <c r="Y64" s="108">
        <f>IFERROR(AVERAGE('Monster Consolidated Statements'!AD53,'Monster Consolidated Statements'!AE53)/'Monster Consolidated Statements'!AE8*365,0)</f>
        <v>104.02058343826523</v>
      </c>
      <c r="Z64" s="108">
        <f>IFERROR(AVERAGE('Monster Consolidated Statements'!AE53,'Monster Consolidated Statements'!AF53)/'Monster Consolidated Statements'!AF8*365,0)</f>
        <v>90.539757177399238</v>
      </c>
      <c r="AA64" s="108">
        <f>IFERROR(AVERAGE('Monster Consolidated Statements'!AF53,'Monster Consolidated Statements'!AG53)/'Monster Consolidated Statements'!AG8*365,0)</f>
        <v>76.581619585008582</v>
      </c>
    </row>
    <row r="65" spans="1:27">
      <c r="A65" s="103" t="s">
        <v>214</v>
      </c>
      <c r="B65" s="108">
        <f>IFERROR(AVERAGE('Monster Consolidated Statements'!G75,'Monster Consolidated Statements'!H75)/'Monster Consolidated Statements'!H8*365,0)</f>
        <v>41.162322975363352</v>
      </c>
      <c r="C65" s="108">
        <f>IFERROR(AVERAGE('Monster Consolidated Statements'!H75,'Monster Consolidated Statements'!I75)/'Monster Consolidated Statements'!I8*365,0)</f>
        <v>26.961502700785946</v>
      </c>
      <c r="D65" s="108">
        <f>IFERROR(AVERAGE('Monster Consolidated Statements'!I75,'Monster Consolidated Statements'!J75)/'Monster Consolidated Statements'!J8*365,0)</f>
        <v>26.85235877643581</v>
      </c>
      <c r="E65" s="108">
        <f>IFERROR(AVERAGE('Monster Consolidated Statements'!J75,'Monster Consolidated Statements'!K75)/'Monster Consolidated Statements'!K8*365,0)</f>
        <v>30.848315709373519</v>
      </c>
      <c r="F65" s="108">
        <f>IFERROR(AVERAGE('Monster Consolidated Statements'!K75,'Monster Consolidated Statements'!L75)/'Monster Consolidated Statements'!L8*365,0)</f>
        <v>39.682252470328955</v>
      </c>
      <c r="G65" s="108">
        <f>IFERROR(AVERAGE('Monster Consolidated Statements'!L75,'Monster Consolidated Statements'!M75)/'Monster Consolidated Statements'!M8*365,0)</f>
        <v>45.153932487907319</v>
      </c>
      <c r="H65" s="108">
        <f>IFERROR(AVERAGE('Monster Consolidated Statements'!M75,'Monster Consolidated Statements'!N75)/'Monster Consolidated Statements'!N8*365,0)</f>
        <v>38.481425055328863</v>
      </c>
      <c r="I65" s="108">
        <f>IFERROR(AVERAGE('Monster Consolidated Statements'!N75,'Monster Consolidated Statements'!O75)/'Monster Consolidated Statements'!O8*365,0)</f>
        <v>38.104671304060929</v>
      </c>
      <c r="J65" s="108">
        <f>IFERROR(AVERAGE('Monster Consolidated Statements'!O75,'Monster Consolidated Statements'!P75)/'Monster Consolidated Statements'!P8*365,0)</f>
        <v>44.816262480150954</v>
      </c>
      <c r="K65" s="108">
        <f>IFERROR(AVERAGE('Monster Consolidated Statements'!P75,'Monster Consolidated Statements'!Q75)/'Monster Consolidated Statements'!Q8*365,0)</f>
        <v>39.061749622869279</v>
      </c>
      <c r="L65" s="108">
        <f>IFERROR(AVERAGE('Monster Consolidated Statements'!Q75,'Monster Consolidated Statements'!R75)/'Monster Consolidated Statements'!R8*365,0)</f>
        <v>39.366560472789892</v>
      </c>
      <c r="M65" s="108">
        <f>IFERROR(AVERAGE('Monster Consolidated Statements'!R75,'Monster Consolidated Statements'!S75)/'Monster Consolidated Statements'!S8*365,0)</f>
        <v>44.923299061342206</v>
      </c>
      <c r="N65" s="108">
        <f>IFERROR(AVERAGE('Monster Consolidated Statements'!S75,'Monster Consolidated Statements'!T75)/'Monster Consolidated Statements'!T8*365,0)</f>
        <v>44.160390574908092</v>
      </c>
      <c r="O65" s="108">
        <f>IFERROR(AVERAGE('Monster Consolidated Statements'!T75,'Monster Consolidated Statements'!U75)/'Monster Consolidated Statements'!U8*365,0)</f>
        <v>41.941286282122817</v>
      </c>
      <c r="P65" s="108">
        <f>IFERROR(AVERAGE('Monster Consolidated Statements'!U75,'Monster Consolidated Statements'!V75)/'Monster Consolidated Statements'!V8*365,0)</f>
        <v>40.069616472765382</v>
      </c>
      <c r="Q65" s="108">
        <f>IFERROR(AVERAGE('Monster Consolidated Statements'!V75,'Monster Consolidated Statements'!W75)/'Monster Consolidated Statements'!W8*365,0)</f>
        <v>45.597924537473986</v>
      </c>
      <c r="R65" s="108">
        <f>IFERROR(AVERAGE('Monster Consolidated Statements'!W75,'Monster Consolidated Statements'!X75)/'Monster Consolidated Statements'!X8*365,0)</f>
        <v>55.708337058298184</v>
      </c>
      <c r="S65" s="108">
        <f>IFERROR(AVERAGE('Monster Consolidated Statements'!X75,'Monster Consolidated Statements'!Y75)/'Monster Consolidated Statements'!Y8*365,0)</f>
        <v>65.091180041499001</v>
      </c>
      <c r="T65" s="108">
        <f>IFERROR(AVERAGE('Monster Consolidated Statements'!Y75,'Monster Consolidated Statements'!Z75)/'Monster Consolidated Statements'!Z8*365,0)</f>
        <v>59.714775288925573</v>
      </c>
      <c r="U65" s="108">
        <f>IFERROR(AVERAGE('Monster Consolidated Statements'!Z75,'Monster Consolidated Statements'!AA75)/'Monster Consolidated Statements'!AA8*365,0)</f>
        <v>56.717384442354629</v>
      </c>
      <c r="V65" s="108">
        <f>IFERROR(AVERAGE('Monster Consolidated Statements'!AA75,'Monster Consolidated Statements'!AB75)/'Monster Consolidated Statements'!AB8*365,0)</f>
        <v>55.569418826323179</v>
      </c>
      <c r="W65" s="108">
        <f>IFERROR(AVERAGE('Monster Consolidated Statements'!AB75,'Monster Consolidated Statements'!AC75)/'Monster Consolidated Statements'!AC8*365,0)</f>
        <v>52.590408777563994</v>
      </c>
      <c r="X65" s="108">
        <f>IFERROR(AVERAGE('Monster Consolidated Statements'!AC75,'Monster Consolidated Statements'!AD75)/'Monster Consolidated Statements'!AD8*365,0)</f>
        <v>49.3726125727447</v>
      </c>
      <c r="Y65" s="108">
        <f>IFERROR(AVERAGE('Monster Consolidated Statements'!AD75,'Monster Consolidated Statements'!AE75)/'Monster Consolidated Statements'!AE8*365,0)</f>
        <v>55.017148257482987</v>
      </c>
      <c r="Z65" s="108">
        <f>IFERROR(AVERAGE('Monster Consolidated Statements'!AE75,'Monster Consolidated Statements'!AF75)/'Monster Consolidated Statements'!AF8*365,0)</f>
        <v>54.644262450741628</v>
      </c>
      <c r="AA65" s="108">
        <f>IFERROR(AVERAGE('Monster Consolidated Statements'!AF75,'Monster Consolidated Statements'!AG75)/'Monster Consolidated Statements'!AG8*365,0)</f>
        <v>51.466159341457526</v>
      </c>
    </row>
    <row r="66" spans="1:27">
      <c r="A66" s="101" t="s">
        <v>213</v>
      </c>
      <c r="B66" s="107">
        <f t="shared" ref="B66:AA66" si="12">B63+B64-B65</f>
        <v>71.515468955715605</v>
      </c>
      <c r="C66" s="107">
        <f t="shared" si="12"/>
        <v>75.882377851784966</v>
      </c>
      <c r="D66" s="107">
        <f t="shared" si="12"/>
        <v>66.938252963574456</v>
      </c>
      <c r="E66" s="107">
        <f t="shared" si="12"/>
        <v>68.158960694872817</v>
      </c>
      <c r="F66" s="107">
        <f t="shared" si="12"/>
        <v>54.005464990396668</v>
      </c>
      <c r="G66" s="107">
        <f t="shared" si="12"/>
        <v>35.534795062502376</v>
      </c>
      <c r="H66" s="107">
        <f t="shared" si="12"/>
        <v>55.055575285565517</v>
      </c>
      <c r="I66" s="107">
        <f t="shared" si="12"/>
        <v>62.600642728846353</v>
      </c>
      <c r="J66" s="107">
        <f t="shared" si="12"/>
        <v>72.645007316620891</v>
      </c>
      <c r="K66" s="107">
        <f t="shared" si="12"/>
        <v>77.174698466348985</v>
      </c>
      <c r="L66" s="107">
        <f t="shared" si="12"/>
        <v>66.583630590183731</v>
      </c>
      <c r="M66" s="107">
        <f t="shared" si="12"/>
        <v>59.085079809590766</v>
      </c>
      <c r="N66" s="107">
        <f t="shared" si="12"/>
        <v>61.967436903309732</v>
      </c>
      <c r="O66" s="107">
        <f t="shared" si="12"/>
        <v>73.527271356182425</v>
      </c>
      <c r="P66" s="107">
        <f t="shared" si="12"/>
        <v>66.887256925429057</v>
      </c>
      <c r="Q66" s="107">
        <f t="shared" si="12"/>
        <v>60.615362419761723</v>
      </c>
      <c r="R66" s="107">
        <f t="shared" si="12"/>
        <v>59.614275964945179</v>
      </c>
      <c r="S66" s="107">
        <f t="shared" si="12"/>
        <v>52.20873850050738</v>
      </c>
      <c r="T66" s="107">
        <f t="shared" si="12"/>
        <v>49.455151238168533</v>
      </c>
      <c r="U66" s="107">
        <f t="shared" si="12"/>
        <v>57.06973973945604</v>
      </c>
      <c r="V66" s="107">
        <f t="shared" si="12"/>
        <v>59.845204973114456</v>
      </c>
      <c r="W66" s="107">
        <f t="shared" si="12"/>
        <v>68.372147353294949</v>
      </c>
      <c r="X66" s="107">
        <f t="shared" si="12"/>
        <v>94.908597875573761</v>
      </c>
      <c r="Y66" s="107">
        <f t="shared" si="12"/>
        <v>105.49558535052249</v>
      </c>
      <c r="Z66" s="107">
        <f t="shared" si="12"/>
        <v>94.732535508569754</v>
      </c>
      <c r="AA66" s="107">
        <f t="shared" si="12"/>
        <v>87.597628511730946</v>
      </c>
    </row>
    <row r="67" spans="1:27">
      <c r="A67" s="103" t="s">
        <v>212</v>
      </c>
      <c r="B67" s="105">
        <f>'Monster Consolidated Statements'!H51+'Monster Consolidated Statements'!H53+'Monster Consolidated Statements'!H54-'Monster Consolidated Statements'!H75-'Monster Consolidated Statements'!H76</f>
        <v>14026.369000000001</v>
      </c>
      <c r="C67" s="105">
        <f>'Monster Consolidated Statements'!I51+'Monster Consolidated Statements'!I53+'Monster Consolidated Statements'!I54-'Monster Consolidated Statements'!I75-'Monster Consolidated Statements'!I76</f>
        <v>12551.674999999997</v>
      </c>
      <c r="D67" s="105">
        <f>'Monster Consolidated Statements'!J51+'Monster Consolidated Statements'!J53+'Monster Consolidated Statements'!J54-'Monster Consolidated Statements'!J75-'Monster Consolidated Statements'!J76</f>
        <v>13807.600999999999</v>
      </c>
      <c r="E67" s="105">
        <f>'Monster Consolidated Statements'!K51+'Monster Consolidated Statements'!K53+'Monster Consolidated Statements'!K54-'Monster Consolidated Statements'!K75-'Monster Consolidated Statements'!K76</f>
        <v>15791.802</v>
      </c>
      <c r="F67" s="105">
        <f>'Monster Consolidated Statements'!L51+'Monster Consolidated Statements'!L53+'Monster Consolidated Statements'!L54-'Monster Consolidated Statements'!L75-'Monster Consolidated Statements'!L76</f>
        <v>19569.354999999992</v>
      </c>
      <c r="G67" s="105">
        <f>'Monster Consolidated Statements'!M51+'Monster Consolidated Statements'!M53+'Monster Consolidated Statements'!M54-'Monster Consolidated Statements'!M75-'Monster Consolidated Statements'!M76</f>
        <v>31533.087</v>
      </c>
      <c r="H67" s="105">
        <f>'Monster Consolidated Statements'!N51+'Monster Consolidated Statements'!N53+'Monster Consolidated Statements'!N54-'Monster Consolidated Statements'!N75-'Monster Consolidated Statements'!N76</f>
        <v>81557</v>
      </c>
      <c r="I67" s="105">
        <f>'Monster Consolidated Statements'!O51+'Monster Consolidated Statements'!O53+'Monster Consolidated Statements'!O54-'Monster Consolidated Statements'!O75-'Monster Consolidated Statements'!O76</f>
        <v>117607</v>
      </c>
      <c r="J67" s="105">
        <f>'Monster Consolidated Statements'!P51+'Monster Consolidated Statements'!P53+'Monster Consolidated Statements'!P54-'Monster Consolidated Statements'!P75-'Monster Consolidated Statements'!P76</f>
        <v>183349</v>
      </c>
      <c r="K67" s="105">
        <f>'Monster Consolidated Statements'!Q51+'Monster Consolidated Statements'!Q53+'Monster Consolidated Statements'!Q54-'Monster Consolidated Statements'!Q75-'Monster Consolidated Statements'!Q76</f>
        <v>165281</v>
      </c>
      <c r="L67" s="105">
        <f>'Monster Consolidated Statements'!R51+'Monster Consolidated Statements'!R53+'Monster Consolidated Statements'!R54-'Monster Consolidated Statements'!R75-'Monster Consolidated Statements'!R76</f>
        <v>162413</v>
      </c>
      <c r="M67" s="105">
        <f>'Monster Consolidated Statements'!S51+'Monster Consolidated Statements'!S53+'Monster Consolidated Statements'!S54-'Monster Consolidated Statements'!S75-'Monster Consolidated Statements'!S76</f>
        <v>249854</v>
      </c>
      <c r="N67" s="105">
        <f>'Monster Consolidated Statements'!T51+'Monster Consolidated Statements'!T53+'Monster Consolidated Statements'!T54-'Monster Consolidated Statements'!T75-'Monster Consolidated Statements'!T76</f>
        <v>298553</v>
      </c>
      <c r="O67" s="105">
        <f>'Monster Consolidated Statements'!U51+'Monster Consolidated Statements'!U53+'Monster Consolidated Statements'!U54-'Monster Consolidated Statements'!U75-'Monster Consolidated Statements'!U76</f>
        <v>360516</v>
      </c>
      <c r="P67" s="105">
        <f>'Monster Consolidated Statements'!V51+'Monster Consolidated Statements'!V53+'Monster Consolidated Statements'!V54-'Monster Consolidated Statements'!V75-'Monster Consolidated Statements'!V76</f>
        <v>307089</v>
      </c>
      <c r="Q67" s="105">
        <f>'Monster Consolidated Statements'!W51+'Monster Consolidated Statements'!W53+'Monster Consolidated Statements'!W54-'Monster Consolidated Statements'!W75-'Monster Consolidated Statements'!W76</f>
        <v>434494</v>
      </c>
      <c r="R67" s="105">
        <f>'Monster Consolidated Statements'!X51+'Monster Consolidated Statements'!X53+'Monster Consolidated Statements'!X54-'Monster Consolidated Statements'!X75-'Monster Consolidated Statements'!X76</f>
        <v>494788</v>
      </c>
      <c r="S67" s="105">
        <f>'Monster Consolidated Statements'!Y51+'Monster Consolidated Statements'!Y53+'Monster Consolidated Statements'!Y54-'Monster Consolidated Statements'!Y75-'Monster Consolidated Statements'!Y76</f>
        <v>412713</v>
      </c>
      <c r="T67" s="105">
        <f>'Monster Consolidated Statements'!Z51+'Monster Consolidated Statements'!Z53+'Monster Consolidated Statements'!Z54-'Monster Consolidated Statements'!Z75-'Monster Consolidated Statements'!Z76</f>
        <v>445909</v>
      </c>
      <c r="U67" s="105">
        <f>'Monster Consolidated Statements'!AA51+'Monster Consolidated Statements'!AA53+'Monster Consolidated Statements'!AA54-'Monster Consolidated Statements'!AA75-'Monster Consolidated Statements'!AA76</f>
        <v>567809</v>
      </c>
      <c r="V67" s="105">
        <f>'Monster Consolidated Statements'!AB51+'Monster Consolidated Statements'!AB53+'Monster Consolidated Statements'!AB54-'Monster Consolidated Statements'!AB75-'Monster Consolidated Statements'!AB76</f>
        <v>615002</v>
      </c>
      <c r="W67" s="105">
        <f>'Monster Consolidated Statements'!AC51+'Monster Consolidated Statements'!AC53+'Monster Consolidated Statements'!AC54-'Monster Consolidated Statements'!AC75-'Monster Consolidated Statements'!AC76</f>
        <v>957456</v>
      </c>
      <c r="X67" s="105">
        <f>'Monster Consolidated Statements'!AD51+'Monster Consolidated Statements'!AD53+'Monster Consolidated Statements'!AD54-'Monster Consolidated Statements'!AD75-'Monster Consolidated Statements'!AD76</f>
        <v>1444401</v>
      </c>
      <c r="Y67" s="105">
        <f>'Monster Consolidated Statements'!AE51+'Monster Consolidated Statements'!AE53+'Monster Consolidated Statements'!AE54-'Monster Consolidated Statements'!AE75-'Monster Consolidated Statements'!AE76</f>
        <v>1533198</v>
      </c>
      <c r="Z67" s="105">
        <f>'Monster Consolidated Statements'!AF51+'Monster Consolidated Statements'!AF53+'Monster Consolidated Statements'!AF54-'Monster Consolidated Statements'!AF75-'Monster Consolidated Statements'!AF76</f>
        <v>1378476</v>
      </c>
      <c r="AA67" s="105">
        <f>'Monster Consolidated Statements'!AG51+'Monster Consolidated Statements'!AG53+'Monster Consolidated Statements'!AG54-'Monster Consolidated Statements'!AG75-'Monster Consolidated Statements'!AG76</f>
        <v>1649187</v>
      </c>
    </row>
    <row r="68" spans="1:27">
      <c r="A68" s="101" t="s">
        <v>211</v>
      </c>
      <c r="B68" s="100">
        <f>IFERROR(B67/'Monster Consolidated Statements'!H6,0)</f>
        <v>0.17591737664400692</v>
      </c>
      <c r="C68" s="100">
        <f>IFERROR(C67/'Monster Consolidated Statements'!I6,0)</f>
        <v>0.13601771032854662</v>
      </c>
      <c r="D68" s="100">
        <f>IFERROR(D67/'Monster Consolidated Statements'!J6,0)</f>
        <v>0.15000702580727743</v>
      </c>
      <c r="E68" s="100">
        <f>IFERROR(E67/'Monster Consolidated Statements'!K6,0)</f>
        <v>0.14310364969991174</v>
      </c>
      <c r="F68" s="100">
        <f>IFERROR(F67/'Monster Consolidated Statements'!L6,0)</f>
        <v>0.10851298568127561</v>
      </c>
      <c r="G68" s="100">
        <f>IFERROR(G67/'Monster Consolidated Statements'!M6,0)</f>
        <v>9.0382113126197663E-2</v>
      </c>
      <c r="H68" s="100">
        <f>IFERROR(H67/'Monster Consolidated Statements'!N6,0)</f>
        <v>0.13463271781225342</v>
      </c>
      <c r="I68" s="100">
        <f>IFERROR(I67/'Monster Consolidated Statements'!O6,0)</f>
        <v>0.13002935436971028</v>
      </c>
      <c r="J68" s="100">
        <f>IFERROR(J67/'Monster Consolidated Statements'!P6,0)</f>
        <v>0.17735785176730059</v>
      </c>
      <c r="K68" s="100">
        <f>IFERROR(K67/'Monster Consolidated Statements'!Q6,0)</f>
        <v>0.14456498256361633</v>
      </c>
      <c r="L68" s="100">
        <f>IFERROR(L67/'Monster Consolidated Statements'!R6,0)</f>
        <v>0.12455538666597134</v>
      </c>
      <c r="M68" s="100">
        <f>IFERROR(M67/'Monster Consolidated Statements'!S6,0)</f>
        <v>0.14669422215437727</v>
      </c>
      <c r="N68" s="100">
        <f>IFERROR(N67/'Monster Consolidated Statements'!T6,0)</f>
        <v>0.14487926929755005</v>
      </c>
      <c r="O68" s="100">
        <f>IFERROR(O67/'Monster Consolidated Statements'!U6,0)</f>
        <v>0.16048411077497254</v>
      </c>
      <c r="P68" s="100">
        <f>IFERROR(P67/'Monster Consolidated Statements'!V6,0)</f>
        <v>0.1245864381323617</v>
      </c>
      <c r="Q68" s="100">
        <f>IFERROR(Q67/'Monster Consolidated Statements'!W6,0)</f>
        <v>0.15959000412846125</v>
      </c>
      <c r="R68" s="100">
        <f>IFERROR(R67/'Monster Consolidated Statements'!X6,0)</f>
        <v>0.16225786574574022</v>
      </c>
      <c r="S68" s="100">
        <f>IFERROR(S67/'Monster Consolidated Statements'!Y6,0)</f>
        <v>0.12250148038984342</v>
      </c>
      <c r="T68" s="100">
        <f>IFERROR(T67/'Monster Consolidated Statements'!Z6,0)</f>
        <v>0.1171230802406924</v>
      </c>
      <c r="U68" s="100">
        <f>IFERROR(U67/'Monster Consolidated Statements'!AA6,0)</f>
        <v>0.13516626162660186</v>
      </c>
      <c r="V68" s="100">
        <f>IFERROR(V67/'Monster Consolidated Statements'!AB6,0)</f>
        <v>0.13373568434827876</v>
      </c>
      <c r="W68" s="100">
        <f>IFERROR(W67/'Monster Consolidated Statements'!AC6,0)</f>
        <v>0.17278382604100948</v>
      </c>
      <c r="X68" s="100">
        <f>IFERROR(X67/'Monster Consolidated Statements'!AD6,0)</f>
        <v>0.22886857179074796</v>
      </c>
      <c r="Y68" s="100">
        <f>IFERROR(Y67/'Monster Consolidated Statements'!AE6,0)</f>
        <v>0.21473280143058282</v>
      </c>
      <c r="Z68" s="100">
        <f>IFERROR(Z67/'Monster Consolidated Statements'!AF6,0)</f>
        <v>0.18397564886077919</v>
      </c>
      <c r="AA68" s="100">
        <f>IFERROR(AA67/'Monster Consolidated Statements'!AG6,0)</f>
        <v>0.19883274660814004</v>
      </c>
    </row>
    <row r="69" spans="1:27">
      <c r="A69" s="101" t="s">
        <v>210</v>
      </c>
      <c r="B69" s="100">
        <f>IFERROR((B67-('Monster Consolidated Statements'!G51+'Monster Consolidated Statements'!G53+'Monster Consolidated Statements'!G54-'Monster Consolidated Statements'!G75-'Monster Consolidated Statements'!G76))/('Monster Consolidated Statements'!H6-'Monster Consolidated Statements'!G6),0)</f>
        <v>0.82235091001131544</v>
      </c>
      <c r="C69" s="100">
        <f>IFERROR((C67-('Monster Consolidated Statements'!H51+'Monster Consolidated Statements'!H53+'Monster Consolidated Statements'!H54-'Monster Consolidated Statements'!H75-'Monster Consolidated Statements'!H76))/('Monster Consolidated Statements'!I6-'Monster Consolidated Statements'!H6),0)</f>
        <v>-0.11753357495280578</v>
      </c>
      <c r="D69" s="100">
        <f>IFERROR((D67-('Monster Consolidated Statements'!I51+'Monster Consolidated Statements'!I53+'Monster Consolidated Statements'!I54-'Monster Consolidated Statements'!I75-'Monster Consolidated Statements'!I76))/('Monster Consolidated Statements'!J6-'Monster Consolidated Statements'!I6),0)</f>
        <v>-5.3821786251494146</v>
      </c>
      <c r="E69" s="100">
        <f>IFERROR((E67-('Monster Consolidated Statements'!J51+'Monster Consolidated Statements'!J53+'Monster Consolidated Statements'!J54-'Monster Consolidated Statements'!J75-'Monster Consolidated Statements'!J76))/('Monster Consolidated Statements'!K6-'Monster Consolidated Statements'!J6),0)</f>
        <v>0.1083917291066881</v>
      </c>
      <c r="F69" s="100">
        <f>IFERROR((F67-('Monster Consolidated Statements'!K51+'Monster Consolidated Statements'!K53+'Monster Consolidated Statements'!K54-'Monster Consolidated Statements'!K75-'Monster Consolidated Statements'!K76))/('Monster Consolidated Statements'!L6-'Monster Consolidated Statements'!K6),0)</f>
        <v>5.3973571452483257E-2</v>
      </c>
      <c r="G69" s="100">
        <f>IFERROR((G67-('Monster Consolidated Statements'!L51+'Monster Consolidated Statements'!L53+'Monster Consolidated Statements'!L54-'Monster Consolidated Statements'!L75-'Monster Consolidated Statements'!L76))/('Monster Consolidated Statements'!M6-'Monster Consolidated Statements'!L6),0)</f>
        <v>7.098232284009276E-2</v>
      </c>
      <c r="H69" s="100">
        <f>IFERROR((H67-('Monster Consolidated Statements'!M51+'Monster Consolidated Statements'!M53+'Monster Consolidated Statements'!M54-'Monster Consolidated Statements'!M75-'Monster Consolidated Statements'!M76))/('Monster Consolidated Statements'!N6-'Monster Consolidated Statements'!M6),0)</f>
        <v>0.19473071638785072</v>
      </c>
      <c r="I69" s="100">
        <f>IFERROR((I67-('Monster Consolidated Statements'!N51+'Monster Consolidated Statements'!N53+'Monster Consolidated Statements'!N54-'Monster Consolidated Statements'!N75-'Monster Consolidated Statements'!N76))/('Monster Consolidated Statements'!O6-'Monster Consolidated Statements'!N6),0)</f>
        <v>0.12069329172958007</v>
      </c>
      <c r="J69" s="100">
        <f>IFERROR((J67-('Monster Consolidated Statements'!O51+'Monster Consolidated Statements'!O53+'Monster Consolidated Statements'!O54-'Monster Consolidated Statements'!O75-'Monster Consolidated Statements'!O76))/('Monster Consolidated Statements'!P6-'Monster Consolidated Statements'!O6),0)</f>
        <v>0.50838649808606895</v>
      </c>
      <c r="K69" s="100">
        <f>IFERROR((K67-('Monster Consolidated Statements'!P51+'Monster Consolidated Statements'!P53+'Monster Consolidated Statements'!P54-'Monster Consolidated Statements'!P75-'Monster Consolidated Statements'!P76))/('Monster Consolidated Statements'!Q6-'Monster Consolidated Statements'!P6),0)</f>
        <v>-0.16497594024781087</v>
      </c>
      <c r="L69" s="100">
        <f>IFERROR((L67-('Monster Consolidated Statements'!Q51+'Monster Consolidated Statements'!Q53+'Monster Consolidated Statements'!Q54-'Monster Consolidated Statements'!Q75-'Monster Consolidated Statements'!Q76))/('Monster Consolidated Statements'!R6-'Monster Consolidated Statements'!Q6),0)</f>
        <v>-1.7853252242550251E-2</v>
      </c>
      <c r="M69" s="100">
        <f>IFERROR((M67-('Monster Consolidated Statements'!R51+'Monster Consolidated Statements'!R53+'Monster Consolidated Statements'!R54-'Monster Consolidated Statements'!R75-'Monster Consolidated Statements'!R76))/('Monster Consolidated Statements'!S6-'Monster Consolidated Statements'!R6),0)</f>
        <v>0.21899230630522329</v>
      </c>
      <c r="N69" s="100">
        <f>IFERROR((N67-('Monster Consolidated Statements'!S51+'Monster Consolidated Statements'!S53+'Monster Consolidated Statements'!S54-'Monster Consolidated Statements'!S75-'Monster Consolidated Statements'!S76))/('Monster Consolidated Statements'!T6-'Monster Consolidated Statements'!S6),0)</f>
        <v>0.13623164891236236</v>
      </c>
      <c r="O69" s="100">
        <f>IFERROR((O67-('Monster Consolidated Statements'!T51+'Monster Consolidated Statements'!T53+'Monster Consolidated Statements'!T54-'Monster Consolidated Statements'!T75-'Monster Consolidated Statements'!T76))/('Monster Consolidated Statements'!U6-'Monster Consolidated Statements'!T6),0)</f>
        <v>0.33362587898301799</v>
      </c>
      <c r="P69" s="100">
        <f>IFERROR((P67-('Monster Consolidated Statements'!U51+'Monster Consolidated Statements'!U53+'Monster Consolidated Statements'!U54-'Monster Consolidated Statements'!U75-'Monster Consolidated Statements'!U76))/('Monster Consolidated Statements'!V6-'Monster Consolidated Statements'!U6),0)</f>
        <v>-0.24458544490681608</v>
      </c>
      <c r="Q69" s="100">
        <f>IFERROR((Q67-('Monster Consolidated Statements'!V51+'Monster Consolidated Statements'!V53+'Monster Consolidated Statements'!V54-'Monster Consolidated Statements'!V75-'Monster Consolidated Statements'!V76))/('Monster Consolidated Statements'!W6-'Monster Consolidated Statements'!V6),0)</f>
        <v>0.49439846020714251</v>
      </c>
      <c r="R69" s="100">
        <f>IFERROR((R67-('Monster Consolidated Statements'!W51+'Monster Consolidated Statements'!W53+'Monster Consolidated Statements'!W54-'Monster Consolidated Statements'!W75-'Monster Consolidated Statements'!W76))/('Monster Consolidated Statements'!X6-'Monster Consolidated Statements'!W6),0)</f>
        <v>0.1844817932313228</v>
      </c>
      <c r="S69" s="100">
        <f>IFERROR((S67-('Monster Consolidated Statements'!X51+'Monster Consolidated Statements'!X53+'Monster Consolidated Statements'!X54-'Monster Consolidated Statements'!X75-'Monster Consolidated Statements'!X76))/('Monster Consolidated Statements'!Y6-'Monster Consolidated Statements'!X6),0)</f>
        <v>-0.25676360542089521</v>
      </c>
      <c r="T69" s="100">
        <f>IFERROR((T67-('Monster Consolidated Statements'!Y51+'Monster Consolidated Statements'!Y53+'Monster Consolidated Statements'!Y54-'Monster Consolidated Statements'!Y75-'Monster Consolidated Statements'!Y76))/('Monster Consolidated Statements'!Z6-'Monster Consolidated Statements'!Y6),0)</f>
        <v>7.5766082832349618E-2</v>
      </c>
      <c r="U69" s="100">
        <f>IFERROR((U67-('Monster Consolidated Statements'!Z51+'Monster Consolidated Statements'!Z53+'Monster Consolidated Statements'!Z54-'Monster Consolidated Statements'!Z75-'Monster Consolidated Statements'!Z76))/('Monster Consolidated Statements'!AA6-'Monster Consolidated Statements'!Z6),0)</f>
        <v>0.30967696044061011</v>
      </c>
      <c r="V69" s="100">
        <f>IFERROR((V67-('Monster Consolidated Statements'!AA51+'Monster Consolidated Statements'!AA53+'Monster Consolidated Statements'!AA54-'Monster Consolidated Statements'!AA75-'Monster Consolidated Statements'!AA76))/('Monster Consolidated Statements'!AB6-'Monster Consolidated Statements'!AA6),0)</f>
        <v>0.11862932640220804</v>
      </c>
      <c r="W69" s="100">
        <f>IFERROR((W67-('Monster Consolidated Statements'!AB51+'Monster Consolidated Statements'!AB53+'Monster Consolidated Statements'!AB54-'Monster Consolidated Statements'!AB75-'Monster Consolidated Statements'!AB76))/('Monster Consolidated Statements'!AC6-'Monster Consolidated Statements'!AB6),0)</f>
        <v>0.36326393794936745</v>
      </c>
      <c r="X69" s="100">
        <f>IFERROR((X67-('Monster Consolidated Statements'!AC51+'Monster Consolidated Statements'!AC53+'Monster Consolidated Statements'!AC54-'Monster Consolidated Statements'!AC75-'Monster Consolidated Statements'!AC76))/('Monster Consolidated Statements'!AD6-'Monster Consolidated Statements'!AC6),0)</f>
        <v>0.6326442318935479</v>
      </c>
      <c r="Y69" s="100">
        <f>IFERROR((Y67-('Monster Consolidated Statements'!AD51+'Monster Consolidated Statements'!AD53+'Monster Consolidated Statements'!AD54-'Monster Consolidated Statements'!AD75-'Monster Consolidated Statements'!AD76))/('Monster Consolidated Statements'!AE6-'Monster Consolidated Statements'!AD6),0)</f>
        <v>0.10711636149133209</v>
      </c>
      <c r="Z69" s="100">
        <f>IFERROR((Z67-('Monster Consolidated Statements'!AE51+'Monster Consolidated Statements'!AE53+'Monster Consolidated Statements'!AE54-'Monster Consolidated Statements'!AE75-'Monster Consolidated Statements'!AE76))/('Monster Consolidated Statements'!AF6-'Monster Consolidated Statements'!AE6),0)</f>
        <v>-0.4387011528799315</v>
      </c>
      <c r="AA69" s="100">
        <f>IFERROR((AA67-('Monster Consolidated Statements'!AF51+'Monster Consolidated Statements'!AF53+'Monster Consolidated Statements'!AF54-'Monster Consolidated Statements'!AF75-'Monster Consolidated Statements'!AF76))/('Monster Consolidated Statements'!AG6-'Monster Consolidated Statements'!AF6),0)</f>
        <v>0.33769899979292295</v>
      </c>
    </row>
    <row r="70" spans="1:27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</row>
    <row r="71" spans="1:27">
      <c r="A71" s="106" t="s">
        <v>209</v>
      </c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</row>
    <row r="72" spans="1:27">
      <c r="A72" s="103" t="s">
        <v>208</v>
      </c>
      <c r="B72" s="105">
        <f>'Monster Consolidated Statements'!H135</f>
        <v>-1122.8399999999992</v>
      </c>
      <c r="C72" s="105">
        <f>'Monster Consolidated Statements'!I135</f>
        <v>5202.7060000000001</v>
      </c>
      <c r="D72" s="105">
        <f>'Monster Consolidated Statements'!J135</f>
        <v>2726.6690000000003</v>
      </c>
      <c r="E72" s="105">
        <f>'Monster Consolidated Statements'!K135</f>
        <v>5484.4140000000016</v>
      </c>
      <c r="F72" s="105">
        <f>'Monster Consolidated Statements'!L135</f>
        <v>20050.517</v>
      </c>
      <c r="G72" s="105">
        <f>'Monster Consolidated Statements'!M135</f>
        <v>54649.436000000002</v>
      </c>
      <c r="H72" s="105">
        <f>'Monster Consolidated Statements'!N135</f>
        <v>76414</v>
      </c>
      <c r="I72" s="105">
        <f>'Monster Consolidated Statements'!O135</f>
        <v>135451</v>
      </c>
      <c r="J72" s="105">
        <f>'Monster Consolidated Statements'!P135</f>
        <v>199496</v>
      </c>
      <c r="K72" s="105">
        <f>'Monster Consolidated Statements'!Q135</f>
        <v>156192</v>
      </c>
      <c r="L72" s="105">
        <f>'Monster Consolidated Statements'!R135</f>
        <v>229044</v>
      </c>
      <c r="M72" s="105">
        <f>'Monster Consolidated Statements'!S135</f>
        <v>333827</v>
      </c>
      <c r="N72" s="105">
        <f>'Monster Consolidated Statements'!T135</f>
        <v>287677</v>
      </c>
      <c r="O72" s="105">
        <f>'Monster Consolidated Statements'!U135</f>
        <v>342033</v>
      </c>
      <c r="P72" s="105">
        <f>'Monster Consolidated Statements'!V135</f>
        <v>585567</v>
      </c>
      <c r="Q72" s="105">
        <f>'Monster Consolidated Statements'!W135</f>
        <v>207986</v>
      </c>
      <c r="R72" s="105">
        <f>'Monster Consolidated Statements'!X135</f>
        <v>701355</v>
      </c>
      <c r="S72" s="105">
        <f>'Monster Consolidated Statements'!Y135</f>
        <v>987731</v>
      </c>
      <c r="T72" s="105">
        <f>'Monster Consolidated Statements'!Z135</f>
        <v>1161881</v>
      </c>
      <c r="U72" s="105">
        <f>'Monster Consolidated Statements'!AA135</f>
        <v>1113483</v>
      </c>
      <c r="V72" s="105">
        <f>'Monster Consolidated Statements'!AB135</f>
        <v>1364163</v>
      </c>
      <c r="W72" s="105">
        <f>'Monster Consolidated Statements'!AC135</f>
        <v>1155741</v>
      </c>
      <c r="X72" s="105">
        <f>'Monster Consolidated Statements'!AD135</f>
        <v>887699</v>
      </c>
      <c r="Y72" s="105">
        <f>'Monster Consolidated Statements'!AE135</f>
        <v>1717753</v>
      </c>
      <c r="Z72" s="105">
        <f>'Monster Consolidated Statements'!AF135</f>
        <v>1928533</v>
      </c>
      <c r="AA72" s="105">
        <f>'Monster Consolidated Statements'!AG135</f>
        <v>2098177</v>
      </c>
    </row>
    <row r="73" spans="1:27">
      <c r="A73" s="103" t="s">
        <v>202</v>
      </c>
      <c r="B73" s="105">
        <f>'Monster Consolidated Statements'!H33</f>
        <v>3889.2799999999988</v>
      </c>
      <c r="C73" s="105">
        <f>'Monster Consolidated Statements'!I33</f>
        <v>3001.4159999999947</v>
      </c>
      <c r="D73" s="105">
        <f>'Monster Consolidated Statements'!J33</f>
        <v>3023.2069999999926</v>
      </c>
      <c r="E73" s="105">
        <f>'Monster Consolidated Statements'!K33</f>
        <v>5930.4369999999963</v>
      </c>
      <c r="F73" s="105">
        <f>'Monster Consolidated Statements'!L33</f>
        <v>20386.787</v>
      </c>
      <c r="G73" s="105">
        <f>'Monster Consolidated Statements'!M33</f>
        <v>65631.621000000014</v>
      </c>
      <c r="H73" s="105">
        <f>'Monster Consolidated Statements'!N33</f>
        <v>97949</v>
      </c>
      <c r="I73" s="105">
        <f>'Monster Consolidated Statements'!O33</f>
        <v>149406</v>
      </c>
      <c r="J73" s="105">
        <f>'Monster Consolidated Statements'!P33</f>
        <v>98146</v>
      </c>
      <c r="K73" s="105">
        <f>'Monster Consolidated Statements'!Q33</f>
        <v>210330</v>
      </c>
      <c r="L73" s="105">
        <f>'Monster Consolidated Statements'!R33</f>
        <v>210541</v>
      </c>
      <c r="M73" s="105">
        <f>'Monster Consolidated Statements'!S33</f>
        <v>285372</v>
      </c>
      <c r="N73" s="105">
        <f>'Monster Consolidated Statements'!T33</f>
        <v>341489</v>
      </c>
      <c r="O73" s="105">
        <f>'Monster Consolidated Statements'!U33</f>
        <v>347683</v>
      </c>
      <c r="P73" s="105">
        <f>'Monster Consolidated Statements'!V33</f>
        <v>484902</v>
      </c>
      <c r="Q73" s="105">
        <f>'Monster Consolidated Statements'!W33</f>
        <v>389473</v>
      </c>
      <c r="R73" s="105">
        <f>'Monster Consolidated Statements'!X33</f>
        <v>723991</v>
      </c>
      <c r="S73" s="105">
        <f>'Monster Consolidated Statements'!Y33</f>
        <v>815006</v>
      </c>
      <c r="T73" s="105">
        <f>'Monster Consolidated Statements'!Z33</f>
        <v>973698</v>
      </c>
      <c r="U73" s="105">
        <f>'Monster Consolidated Statements'!AA33</f>
        <v>1081789</v>
      </c>
      <c r="V73" s="105">
        <f>'Monster Consolidated Statements'!AB33</f>
        <v>1423586</v>
      </c>
      <c r="W73" s="105">
        <f>'Monster Consolidated Statements'!AC33</f>
        <v>1369571</v>
      </c>
      <c r="X73" s="105">
        <f>'Monster Consolidated Statements'!AD33</f>
        <v>1217138</v>
      </c>
      <c r="Y73" s="105">
        <f>'Monster Consolidated Statements'!AE33</f>
        <v>1400734</v>
      </c>
      <c r="Z73" s="105">
        <f>'Monster Consolidated Statements'!AF33</f>
        <v>1390718</v>
      </c>
      <c r="AA73" s="105">
        <f>'Monster Consolidated Statements'!AG33</f>
        <v>1779082</v>
      </c>
    </row>
    <row r="74" spans="1:27">
      <c r="A74" s="101" t="s">
        <v>207</v>
      </c>
      <c r="B74" s="100">
        <f t="shared" ref="B74:AA74" si="13">IFERROR(B72/B73,0)</f>
        <v>-0.28870125061708068</v>
      </c>
      <c r="C74" s="100">
        <f t="shared" si="13"/>
        <v>1.7334171604336117</v>
      </c>
      <c r="D74" s="100">
        <f t="shared" si="13"/>
        <v>0.9019127701146521</v>
      </c>
      <c r="E74" s="100">
        <f t="shared" si="13"/>
        <v>0.92479087122922055</v>
      </c>
      <c r="F74" s="100">
        <f t="shared" si="13"/>
        <v>0.98350549304311663</v>
      </c>
      <c r="G74" s="100">
        <f t="shared" si="13"/>
        <v>0.83266930128085648</v>
      </c>
      <c r="H74" s="100">
        <f t="shared" si="13"/>
        <v>0.78014068545875914</v>
      </c>
      <c r="I74" s="100">
        <f t="shared" si="13"/>
        <v>0.90659678995488802</v>
      </c>
      <c r="J74" s="100">
        <f t="shared" si="13"/>
        <v>2.0326452428015407</v>
      </c>
      <c r="K74" s="100">
        <f t="shared" si="13"/>
        <v>0.7426044786763657</v>
      </c>
      <c r="L74" s="100">
        <f t="shared" si="13"/>
        <v>1.0878831201523693</v>
      </c>
      <c r="M74" s="100">
        <f t="shared" si="13"/>
        <v>1.1697959155067772</v>
      </c>
      <c r="N74" s="100">
        <f t="shared" si="13"/>
        <v>0.84241952156584843</v>
      </c>
      <c r="O74" s="100">
        <f t="shared" si="13"/>
        <v>0.98374956497729249</v>
      </c>
      <c r="P74" s="100">
        <f t="shared" si="13"/>
        <v>1.2075986487991388</v>
      </c>
      <c r="Q74" s="100">
        <f t="shared" si="13"/>
        <v>0.53401904624967589</v>
      </c>
      <c r="R74" s="100">
        <f t="shared" si="13"/>
        <v>0.96873441796928417</v>
      </c>
      <c r="S74" s="100">
        <f t="shared" si="13"/>
        <v>1.211930955109533</v>
      </c>
      <c r="T74" s="100">
        <f t="shared" si="13"/>
        <v>1.193266289958488</v>
      </c>
      <c r="U74" s="100">
        <f t="shared" si="13"/>
        <v>1.0292977650909743</v>
      </c>
      <c r="V74" s="100">
        <f t="shared" si="13"/>
        <v>0.95825822956955187</v>
      </c>
      <c r="W74" s="100">
        <f t="shared" si="13"/>
        <v>0.84387081794226071</v>
      </c>
      <c r="X74" s="100">
        <f t="shared" si="13"/>
        <v>0.72933307480335019</v>
      </c>
      <c r="Y74" s="100">
        <f t="shared" si="13"/>
        <v>1.2263234846873139</v>
      </c>
      <c r="Z74" s="100">
        <f t="shared" si="13"/>
        <v>1.3867175085099928</v>
      </c>
      <c r="AA74" s="100">
        <f t="shared" si="13"/>
        <v>1.1793593549931931</v>
      </c>
    </row>
    <row r="75" spans="1:27">
      <c r="A75" s="103" t="s">
        <v>206</v>
      </c>
      <c r="B75" s="105">
        <f>'Monster Consolidated Statements'!H135+'Monster Consolidated Statements'!H149+'Monster Consolidated Statements'!H150</f>
        <v>-8805.0959999999977</v>
      </c>
      <c r="C75" s="105">
        <f>'Monster Consolidated Statements'!I135+'Monster Consolidated Statements'!I149+'Monster Consolidated Statements'!I150</f>
        <v>4554.1500000000005</v>
      </c>
      <c r="D75" s="105">
        <f>'Monster Consolidated Statements'!J135+'Monster Consolidated Statements'!J149+'Monster Consolidated Statements'!J150</f>
        <v>2245.0040000000004</v>
      </c>
      <c r="E75" s="105">
        <f>'Monster Consolidated Statements'!K135+'Monster Consolidated Statements'!K149+'Monster Consolidated Statements'!K150</f>
        <v>2861.7870000000021</v>
      </c>
      <c r="F75" s="105">
        <f>'Monster Consolidated Statements'!L135+'Monster Consolidated Statements'!L149+'Monster Consolidated Statements'!L150</f>
        <v>18659.303</v>
      </c>
      <c r="G75" s="105">
        <f>'Monster Consolidated Statements'!M135+'Monster Consolidated Statements'!M149+'Monster Consolidated Statements'!M150</f>
        <v>52308.328999999998</v>
      </c>
      <c r="H75" s="105">
        <f>'Monster Consolidated Statements'!N135+'Monster Consolidated Statements'!N149+'Monster Consolidated Statements'!N150</f>
        <v>71513</v>
      </c>
      <c r="I75" s="105">
        <f>'Monster Consolidated Statements'!O135+'Monster Consolidated Statements'!O149+'Monster Consolidated Statements'!O150</f>
        <v>128423</v>
      </c>
      <c r="J75" s="105">
        <f>'Monster Consolidated Statements'!P135+'Monster Consolidated Statements'!P149+'Monster Consolidated Statements'!P150</f>
        <v>188424</v>
      </c>
      <c r="K75" s="105">
        <f>'Monster Consolidated Statements'!Q135+'Monster Consolidated Statements'!Q149+'Monster Consolidated Statements'!Q150</f>
        <v>127423</v>
      </c>
      <c r="L75" s="105">
        <f>'Monster Consolidated Statements'!R135+'Monster Consolidated Statements'!R149+'Monster Consolidated Statements'!R150</f>
        <v>206647</v>
      </c>
      <c r="M75" s="105">
        <f>'Monster Consolidated Statements'!S135+'Monster Consolidated Statements'!S149+'Monster Consolidated Statements'!S150</f>
        <v>303143</v>
      </c>
      <c r="N75" s="105">
        <f>'Monster Consolidated Statements'!T135+'Monster Consolidated Statements'!T149+'Monster Consolidated Statements'!T150</f>
        <v>238441</v>
      </c>
      <c r="O75" s="105">
        <f>'Monster Consolidated Statements'!U135+'Monster Consolidated Statements'!U149+'Monster Consolidated Statements'!U150</f>
        <v>290096</v>
      </c>
      <c r="P75" s="105">
        <f>'Monster Consolidated Statements'!V135+'Monster Consolidated Statements'!V149+'Monster Consolidated Statements'!V150</f>
        <v>554204</v>
      </c>
      <c r="Q75" s="105">
        <f>'Monster Consolidated Statements'!W135+'Monster Consolidated Statements'!W149+'Monster Consolidated Statements'!W150</f>
        <v>165493</v>
      </c>
      <c r="R75" s="105">
        <f>'Monster Consolidated Statements'!X135+'Monster Consolidated Statements'!X149+'Monster Consolidated Statements'!X150</f>
        <v>596018</v>
      </c>
      <c r="S75" s="105">
        <f>'Monster Consolidated Statements'!Y135+'Monster Consolidated Statements'!Y149+'Monster Consolidated Statements'!Y150</f>
        <v>894603</v>
      </c>
      <c r="T75" s="105">
        <f>'Monster Consolidated Statements'!Z135+'Monster Consolidated Statements'!Z149+'Monster Consolidated Statements'!Z150</f>
        <v>1086956</v>
      </c>
      <c r="U75" s="105">
        <f>'Monster Consolidated Statements'!AA135+'Monster Consolidated Statements'!AA149+'Monster Consolidated Statements'!AA150</f>
        <v>1003085</v>
      </c>
      <c r="V75" s="105">
        <f>'Monster Consolidated Statements'!AB135+'Monster Consolidated Statements'!AB149+'Monster Consolidated Statements'!AB150</f>
        <v>1296891</v>
      </c>
      <c r="W75" s="105">
        <f>'Monster Consolidated Statements'!AC135+'Monster Consolidated Statements'!AC149+'Monster Consolidated Statements'!AC150</f>
        <v>1098288</v>
      </c>
      <c r="X75" s="105">
        <f>'Monster Consolidated Statements'!AD135+'Monster Consolidated Statements'!AD149+'Monster Consolidated Statements'!AD150</f>
        <v>675546</v>
      </c>
      <c r="Y75" s="105">
        <f>'Monster Consolidated Statements'!AE135+'Monster Consolidated Statements'!AE149+'Monster Consolidated Statements'!AE150</f>
        <v>1483029</v>
      </c>
      <c r="Z75" s="105">
        <f>'Monster Consolidated Statements'!AF135+'Monster Consolidated Statements'!AF149+'Monster Consolidated Statements'!AF150</f>
        <v>1622099</v>
      </c>
      <c r="AA75" s="105">
        <f>'Monster Consolidated Statements'!AG135+'Monster Consolidated Statements'!AG149+'Monster Consolidated Statements'!AG150</f>
        <v>1940648</v>
      </c>
    </row>
    <row r="76" spans="1:27">
      <c r="A76" s="101" t="s">
        <v>205</v>
      </c>
      <c r="B76" s="100">
        <f t="shared" ref="B76:AA76" si="14">IFERROR(B75/B73,0)</f>
        <v>-2.2639398551917065</v>
      </c>
      <c r="C76" s="100">
        <f t="shared" si="14"/>
        <v>1.5173338184377003</v>
      </c>
      <c r="D76" s="100">
        <f t="shared" si="14"/>
        <v>0.74259023613004527</v>
      </c>
      <c r="E76" s="100">
        <f t="shared" si="14"/>
        <v>0.48255921106657129</v>
      </c>
      <c r="F76" s="100">
        <f t="shared" si="14"/>
        <v>0.9152645289323913</v>
      </c>
      <c r="G76" s="100">
        <f t="shared" si="14"/>
        <v>0.79699888869116897</v>
      </c>
      <c r="H76" s="100">
        <f t="shared" si="14"/>
        <v>0.73010444210762748</v>
      </c>
      <c r="I76" s="100">
        <f t="shared" si="14"/>
        <v>0.85955717976520352</v>
      </c>
      <c r="J76" s="100">
        <f t="shared" si="14"/>
        <v>1.9198337171153179</v>
      </c>
      <c r="K76" s="100">
        <f t="shared" si="14"/>
        <v>0.60582418104882807</v>
      </c>
      <c r="L76" s="100">
        <f t="shared" si="14"/>
        <v>0.98150479004089464</v>
      </c>
      <c r="M76" s="100">
        <f t="shared" si="14"/>
        <v>1.0622731031776067</v>
      </c>
      <c r="N76" s="100">
        <f t="shared" si="14"/>
        <v>0.6982391819355821</v>
      </c>
      <c r="O76" s="100">
        <f t="shared" si="14"/>
        <v>0.83436923864554779</v>
      </c>
      <c r="P76" s="100">
        <f t="shared" si="14"/>
        <v>1.1429196002491224</v>
      </c>
      <c r="Q76" s="100">
        <f t="shared" si="14"/>
        <v>0.42491520593211851</v>
      </c>
      <c r="R76" s="100">
        <f t="shared" si="14"/>
        <v>0.82323951540834073</v>
      </c>
      <c r="S76" s="100">
        <f t="shared" si="14"/>
        <v>1.097664311673779</v>
      </c>
      <c r="T76" s="100">
        <f t="shared" si="14"/>
        <v>1.1163173797214332</v>
      </c>
      <c r="U76" s="100">
        <f t="shared" si="14"/>
        <v>0.9272464408493708</v>
      </c>
      <c r="V76" s="100">
        <f t="shared" si="14"/>
        <v>0.91100291798317767</v>
      </c>
      <c r="W76" s="100">
        <f t="shared" si="14"/>
        <v>0.8019211855391214</v>
      </c>
      <c r="X76" s="100">
        <f t="shared" si="14"/>
        <v>0.5550282712395801</v>
      </c>
      <c r="Y76" s="100">
        <f t="shared" si="14"/>
        <v>1.0587513403686923</v>
      </c>
      <c r="Z76" s="100">
        <f t="shared" si="14"/>
        <v>1.1663752105027763</v>
      </c>
      <c r="AA76" s="100">
        <f t="shared" si="14"/>
        <v>1.0908142513948205</v>
      </c>
    </row>
    <row r="77" spans="1:27">
      <c r="A77" s="101" t="s">
        <v>204</v>
      </c>
      <c r="B77" s="100">
        <f>IFERROR(B75/'Monster Consolidated Statements'!H6,0)</f>
        <v>-0.11043267073742594</v>
      </c>
      <c r="C77" s="100">
        <f>IFERROR(C75/'Monster Consolidated Statements'!I6,0)</f>
        <v>4.9351584987083461E-2</v>
      </c>
      <c r="D77" s="100">
        <f>IFERROR(D75/'Monster Consolidated Statements'!J6,0)</f>
        <v>2.4389926459016387E-2</v>
      </c>
      <c r="E77" s="100">
        <f>IFERROR(E75/'Monster Consolidated Statements'!K6,0)</f>
        <v>2.5933212964787782E-2</v>
      </c>
      <c r="F77" s="100">
        <f>IFERROR(F75/'Monster Consolidated Statements'!L6,0)</f>
        <v>0.1034667049200949</v>
      </c>
      <c r="G77" s="100">
        <f>IFERROR(G75/'Monster Consolidated Statements'!M6,0)</f>
        <v>0.14992941569978119</v>
      </c>
      <c r="H77" s="100">
        <f>IFERROR(H75/'Monster Consolidated Statements'!N6,0)</f>
        <v>0.11805227692175629</v>
      </c>
      <c r="I77" s="100">
        <f>IFERROR(I75/'Monster Consolidated Statements'!O6,0)</f>
        <v>0.14198780494546501</v>
      </c>
      <c r="J77" s="100">
        <f>IFERROR(J75/'Monster Consolidated Statements'!P6,0)</f>
        <v>0.18226702006229564</v>
      </c>
      <c r="K77" s="100">
        <f>IFERROR(K75/'Monster Consolidated Statements'!Q6,0)</f>
        <v>0.1114520348570234</v>
      </c>
      <c r="L77" s="100">
        <f>IFERROR(L75/'Monster Consolidated Statements'!R6,0)</f>
        <v>0.15847867466497742</v>
      </c>
      <c r="M77" s="100">
        <f>IFERROR(M75/'Monster Consolidated Statements'!S6,0)</f>
        <v>0.17798124739465604</v>
      </c>
      <c r="N77" s="100">
        <f>IFERROR(N75/'Monster Consolidated Statements'!T6,0)</f>
        <v>0.11570862744831616</v>
      </c>
      <c r="O77" s="100">
        <f>IFERROR(O75/'Monster Consolidated Statements'!U6,0)</f>
        <v>0.12913656702996937</v>
      </c>
      <c r="P77" s="100">
        <f>IFERROR(P75/'Monster Consolidated Statements'!V6,0)</f>
        <v>0.22484134032383898</v>
      </c>
      <c r="Q77" s="100">
        <f>IFERROR(Q75/'Monster Consolidated Statements'!W6,0)</f>
        <v>6.0785715230202118E-2</v>
      </c>
      <c r="R77" s="100">
        <f>IFERROR(R75/'Monster Consolidated Statements'!X6,0)</f>
        <v>0.19545463638173236</v>
      </c>
      <c r="S77" s="100">
        <f>IFERROR(S75/'Monster Consolidated Statements'!Y6,0)</f>
        <v>0.26553607921532663</v>
      </c>
      <c r="T77" s="100">
        <f>IFERROR(T75/'Monster Consolidated Statements'!Z6,0)</f>
        <v>0.28550137989164165</v>
      </c>
      <c r="U77" s="100">
        <f>IFERROR(U75/'Monster Consolidated Statements'!AA6,0)</f>
        <v>0.23878319918092161</v>
      </c>
      <c r="V77" s="100">
        <f>IFERROR(V75/'Monster Consolidated Statements'!AB6,0)</f>
        <v>0.28201632744303856</v>
      </c>
      <c r="W77" s="100">
        <f>IFERROR(W75/'Monster Consolidated Statements'!AC6,0)</f>
        <v>0.19819856237250405</v>
      </c>
      <c r="X77" s="100">
        <f>IFERROR(X75/'Monster Consolidated Statements'!AD6,0)</f>
        <v>0.10704177593268949</v>
      </c>
      <c r="Y77" s="100">
        <f>IFERROR(Y75/'Monster Consolidated Statements'!AE6,0)</f>
        <v>0.20770635741293414</v>
      </c>
      <c r="Z77" s="100">
        <f>IFERROR(Z75/'Monster Consolidated Statements'!AF6,0)</f>
        <v>0.21649032412709476</v>
      </c>
      <c r="AA77" s="100">
        <f>IFERROR(AA75/'Monster Consolidated Statements'!AG6,0)</f>
        <v>0.23397247979737515</v>
      </c>
    </row>
    <row r="78" spans="1:27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</row>
    <row r="79" spans="1:27">
      <c r="A79" s="106" t="s">
        <v>203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</row>
    <row r="80" spans="1:27">
      <c r="A80" s="103" t="s">
        <v>202</v>
      </c>
      <c r="B80" s="105">
        <f>'Monster Consolidated Statements'!H33</f>
        <v>3889.2799999999988</v>
      </c>
      <c r="C80" s="105">
        <f>'Monster Consolidated Statements'!I33</f>
        <v>3001.4159999999947</v>
      </c>
      <c r="D80" s="105">
        <f>'Monster Consolidated Statements'!J33</f>
        <v>3023.2069999999926</v>
      </c>
      <c r="E80" s="105">
        <f>'Monster Consolidated Statements'!K33</f>
        <v>5930.4369999999963</v>
      </c>
      <c r="F80" s="105">
        <f>'Monster Consolidated Statements'!L33</f>
        <v>20386.787</v>
      </c>
      <c r="G80" s="105">
        <f>'Monster Consolidated Statements'!M33</f>
        <v>65631.621000000014</v>
      </c>
      <c r="H80" s="105">
        <f>'Monster Consolidated Statements'!N33</f>
        <v>97949</v>
      </c>
      <c r="I80" s="105">
        <f>'Monster Consolidated Statements'!O33</f>
        <v>149406</v>
      </c>
      <c r="J80" s="105">
        <f>'Monster Consolidated Statements'!P33</f>
        <v>98146</v>
      </c>
      <c r="K80" s="105">
        <f>'Monster Consolidated Statements'!Q33</f>
        <v>210330</v>
      </c>
      <c r="L80" s="105">
        <f>'Monster Consolidated Statements'!R33</f>
        <v>210541</v>
      </c>
      <c r="M80" s="105">
        <f>'Monster Consolidated Statements'!S33</f>
        <v>285372</v>
      </c>
      <c r="N80" s="105">
        <f>'Monster Consolidated Statements'!T33</f>
        <v>341489</v>
      </c>
      <c r="O80" s="105">
        <f>'Monster Consolidated Statements'!U33</f>
        <v>347683</v>
      </c>
      <c r="P80" s="105">
        <f>'Monster Consolidated Statements'!V33</f>
        <v>484902</v>
      </c>
      <c r="Q80" s="105">
        <f>'Monster Consolidated Statements'!W33</f>
        <v>389473</v>
      </c>
      <c r="R80" s="105">
        <f>'Monster Consolidated Statements'!X33</f>
        <v>723991</v>
      </c>
      <c r="S80" s="105">
        <f>'Monster Consolidated Statements'!Y33</f>
        <v>815006</v>
      </c>
      <c r="T80" s="105">
        <f>'Monster Consolidated Statements'!Z33</f>
        <v>973698</v>
      </c>
      <c r="U80" s="105">
        <f>'Monster Consolidated Statements'!AA33</f>
        <v>1081789</v>
      </c>
      <c r="V80" s="105">
        <f>'Monster Consolidated Statements'!AB33</f>
        <v>1423586</v>
      </c>
      <c r="W80" s="105">
        <f>'Monster Consolidated Statements'!AC33</f>
        <v>1369571</v>
      </c>
      <c r="X80" s="105">
        <f>'Monster Consolidated Statements'!AD33</f>
        <v>1217138</v>
      </c>
      <c r="Y80" s="105">
        <f>'Monster Consolidated Statements'!AE33</f>
        <v>1400734</v>
      </c>
      <c r="Z80" s="105">
        <f>'Monster Consolidated Statements'!AF33</f>
        <v>1390718</v>
      </c>
      <c r="AA80" s="105">
        <f>'Monster Consolidated Statements'!AG33</f>
        <v>1779082</v>
      </c>
    </row>
    <row r="81" spans="1:27">
      <c r="A81" s="103" t="s">
        <v>201</v>
      </c>
      <c r="B81" s="105">
        <f>'Monster Consolidated Statements'!H42</f>
        <v>10405.703</v>
      </c>
      <c r="C81" s="105">
        <f>'Monster Consolidated Statements'!I42</f>
        <v>10314.904</v>
      </c>
      <c r="D81" s="105">
        <f>'Monster Consolidated Statements'!J42</f>
        <v>10339.603999999999</v>
      </c>
      <c r="E81" s="105">
        <f>'Monster Consolidated Statements'!K42</f>
        <v>10762.156999999999</v>
      </c>
      <c r="F81" s="105">
        <f>'Monster Consolidated Statements'!L42</f>
        <v>92667.290909090909</v>
      </c>
      <c r="G81" s="105">
        <f>'Monster Consolidated Statements'!M42</f>
        <v>96578.424615384618</v>
      </c>
      <c r="H81" s="105">
        <f>'Monster Consolidated Statements'!N42</f>
        <v>98586</v>
      </c>
      <c r="I81" s="105">
        <f>'Monster Consolidated Statements'!O42</f>
        <v>98874</v>
      </c>
      <c r="J81" s="105">
        <f>'Monster Consolidated Statements'!P42</f>
        <v>97530</v>
      </c>
      <c r="K81" s="105">
        <f>'Monster Consolidated Statements'!Q42</f>
        <v>94643</v>
      </c>
      <c r="L81" s="105">
        <f>'Monster Consolidated Statements'!R42</f>
        <v>93021</v>
      </c>
      <c r="M81" s="105">
        <f>'Monster Consolidated Statements'!S42</f>
        <v>186674</v>
      </c>
      <c r="N81" s="105">
        <f>'Monster Consolidated Statements'!T42</f>
        <v>183083</v>
      </c>
      <c r="O81" s="105">
        <f>'Monster Consolidated Statements'!U42</f>
        <v>173387</v>
      </c>
      <c r="P81" s="105">
        <f>'Monster Consolidated Statements'!V42</f>
        <v>174285</v>
      </c>
      <c r="Q81" s="105">
        <f>'Monster Consolidated Statements'!W42</f>
        <v>192586</v>
      </c>
      <c r="R81" s="105">
        <f>'Monster Consolidated Statements'!X42</f>
        <v>599819</v>
      </c>
      <c r="S81" s="105">
        <f>'Monster Consolidated Statements'!Y42</f>
        <v>577141</v>
      </c>
      <c r="T81" s="105">
        <f>'Monster Consolidated Statements'!Z42</f>
        <v>564254</v>
      </c>
      <c r="U81" s="105">
        <f>'Monster Consolidated Statements'!AA42</f>
        <v>546608</v>
      </c>
      <c r="V81" s="105">
        <f>'Monster Consolidated Statements'!AB42</f>
        <v>534807</v>
      </c>
      <c r="W81" s="105">
        <f>'Monster Consolidated Statements'!AC42</f>
        <v>535639</v>
      </c>
      <c r="X81" s="105">
        <f>'Monster Consolidated Statements'!AD42</f>
        <v>1066442</v>
      </c>
      <c r="Y81" s="105">
        <f>'Monster Consolidated Statements'!AE42</f>
        <v>1057981</v>
      </c>
      <c r="Z81" s="105">
        <f>'Monster Consolidated Statements'!AF42</f>
        <v>1013107</v>
      </c>
      <c r="AA81" s="166">
        <f>'Monster Consolidated Statements'!AG42</f>
        <v>984451</v>
      </c>
    </row>
    <row r="82" spans="1:27">
      <c r="A82" s="103" t="s">
        <v>200</v>
      </c>
      <c r="B82" s="104">
        <f>'Monster Consolidated Statements'!H37</f>
        <v>0.37376427138079943</v>
      </c>
      <c r="C82" s="104">
        <f>'Monster Consolidated Statements'!I37</f>
        <v>0.290978568486919</v>
      </c>
      <c r="D82" s="104">
        <f>'Monster Consolidated Statements'!J37</f>
        <v>0.29239098518666601</v>
      </c>
      <c r="E82" s="104">
        <f>'Monster Consolidated Statements'!K37</f>
        <v>0.55104538987862717</v>
      </c>
      <c r="F82" s="104">
        <f>'Monster Consolidated Statements'!L37</f>
        <v>0.21999981654799841</v>
      </c>
      <c r="G82" s="104">
        <f>'Monster Consolidated Statements'!M37</f>
        <v>0.67956814641957952</v>
      </c>
      <c r="H82" s="104">
        <f>'Monster Consolidated Statements'!N37</f>
        <v>0.99353863631752992</v>
      </c>
      <c r="I82" s="104">
        <f>'Monster Consolidated Statements'!O37</f>
        <v>1.5110747011347776</v>
      </c>
      <c r="J82" s="104">
        <f>'Monster Consolidated Statements'!P37</f>
        <v>1.0063160053316929</v>
      </c>
      <c r="K82" s="104">
        <f>'Monster Consolidated Statements'!Q37</f>
        <v>2.2223513624885096</v>
      </c>
      <c r="L82" s="104">
        <f>'Monster Consolidated Statements'!R37</f>
        <v>2.2633706367379407</v>
      </c>
      <c r="M82" s="104">
        <f>'Monster Consolidated Statements'!S37</f>
        <v>1.5287185146297824</v>
      </c>
      <c r="N82" s="104">
        <f>'Monster Consolidated Statements'!T37</f>
        <v>1.8652141378500462</v>
      </c>
      <c r="O82" s="104">
        <f>'Monster Consolidated Statements'!U37</f>
        <v>2.0052426075772694</v>
      </c>
      <c r="P82" s="104">
        <f>'Monster Consolidated Statements'!V37</f>
        <v>2.7822359927704623</v>
      </c>
      <c r="Q82" s="104">
        <f>'Monster Consolidated Statements'!W37</f>
        <v>2.0223328798562719</v>
      </c>
      <c r="R82" s="104">
        <f>'Monster Consolidated Statements'!X37</f>
        <v>1.2070157830945669</v>
      </c>
      <c r="S82" s="104">
        <f>'Monster Consolidated Statements'!Y37</f>
        <v>1.4121436529374971</v>
      </c>
      <c r="T82" s="104">
        <f>'Monster Consolidated Statements'!Z37</f>
        <v>1.7256377447036264</v>
      </c>
      <c r="U82" s="104">
        <f>'Monster Consolidated Statements'!AA37</f>
        <v>1.9790947077247314</v>
      </c>
      <c r="V82" s="104">
        <f>'Monster Consolidated Statements'!AB37</f>
        <v>2.6618686741198228</v>
      </c>
      <c r="W82" s="104">
        <f>'Monster Consolidated Statements'!AC37</f>
        <v>2.5568918618696546</v>
      </c>
      <c r="X82" s="104">
        <f>'Monster Consolidated Statements'!AD37</f>
        <v>1.141307262842236</v>
      </c>
      <c r="Y82" s="104">
        <f>'Monster Consolidated Statements'!AE37</f>
        <v>1.3239689559642376</v>
      </c>
      <c r="Z82" s="104">
        <f>'Monster Consolidated Statements'!AF37</f>
        <v>1.3727256844538631</v>
      </c>
      <c r="AA82" s="104">
        <f>'Monster Consolidated Statements'!AG37</f>
        <v>1.8071818709107919</v>
      </c>
    </row>
    <row r="83" spans="1:27">
      <c r="A83" s="103" t="s">
        <v>199</v>
      </c>
      <c r="B83" s="102">
        <f>IFERROR(B80/'Monster Consolidated Statements'!G33-1,0)</f>
        <v>-8.2936946491844799E-2</v>
      </c>
      <c r="C83" s="102">
        <f>IFERROR(C80/'Monster Consolidated Statements'!H33-1,0)</f>
        <v>-0.22828492677307999</v>
      </c>
      <c r="D83" s="102">
        <f>IFERROR(D80/'Monster Consolidated Statements'!I33-1,0)</f>
        <v>7.2602398334646878E-3</v>
      </c>
      <c r="E83" s="102">
        <f>IFERROR(E80/'Monster Consolidated Statements'!J33-1,0)</f>
        <v>0.96163775752041158</v>
      </c>
      <c r="F83" s="102">
        <f>IFERROR(F80/'Monster Consolidated Statements'!K33-1,0)</f>
        <v>2.4376534140738721</v>
      </c>
      <c r="G83" s="102">
        <f>IFERROR(G80/'Monster Consolidated Statements'!L33-1,0)</f>
        <v>2.2193214654177735</v>
      </c>
      <c r="H83" s="102">
        <f>IFERROR(H80/'Monster Consolidated Statements'!M33-1,0)</f>
        <v>0.49240561954122652</v>
      </c>
      <c r="I83" s="102">
        <f>IFERROR(I80/'Monster Consolidated Statements'!N33-1,0)</f>
        <v>0.52534482230548551</v>
      </c>
      <c r="J83" s="102">
        <f>IFERROR(J80/'Monster Consolidated Statements'!O33-1,0)</f>
        <v>-0.34309197756448873</v>
      </c>
      <c r="K83" s="102">
        <f>IFERROR(K80/'Monster Consolidated Statements'!P33-1,0)</f>
        <v>1.1430318097528174</v>
      </c>
      <c r="L83" s="102">
        <f>IFERROR(L80/'Monster Consolidated Statements'!Q33-1,0)</f>
        <v>1.0031854704513066E-3</v>
      </c>
      <c r="M83" s="102">
        <f>IFERROR(M80/'Monster Consolidated Statements'!R33-1,0)</f>
        <v>0.35542245928346494</v>
      </c>
      <c r="N83" s="102">
        <f>IFERROR(N80/'Monster Consolidated Statements'!S33-1,0)</f>
        <v>0.19664508080680654</v>
      </c>
      <c r="O83" s="102">
        <f>IFERROR(O80/'Monster Consolidated Statements'!T33-1,0)</f>
        <v>1.8138212358231209E-2</v>
      </c>
      <c r="P83" s="102">
        <f>IFERROR(P80/'Monster Consolidated Statements'!U33-1,0)</f>
        <v>0.39466698112936216</v>
      </c>
      <c r="Q83" s="102">
        <f>IFERROR(Q80/'Monster Consolidated Statements'!V33-1,0)</f>
        <v>-0.1968005906348087</v>
      </c>
      <c r="R83" s="102">
        <f>IFERROR(R80/'Monster Consolidated Statements'!W33-1,0)</f>
        <v>0.85889907644432339</v>
      </c>
      <c r="S83" s="102">
        <f>IFERROR(S80/'Monster Consolidated Statements'!X33-1,0)</f>
        <v>0.12571288869613029</v>
      </c>
      <c r="T83" s="102">
        <f>IFERROR(T80/'Monster Consolidated Statements'!Y33-1,0)</f>
        <v>0.19471267696188743</v>
      </c>
      <c r="U83" s="102">
        <f>IFERROR(U80/'Monster Consolidated Statements'!Z33-1,0)</f>
        <v>0.11101080622533877</v>
      </c>
      <c r="V83" s="102">
        <f>IFERROR(V80/'Monster Consolidated Statements'!AA33-1,0)</f>
        <v>0.31595532955132666</v>
      </c>
      <c r="W83" s="102">
        <f>IFERROR(W80/'Monster Consolidated Statements'!AB33-1,0)</f>
        <v>-3.7942913178410032E-2</v>
      </c>
      <c r="X83" s="102">
        <f>IFERROR(X80/'Monster Consolidated Statements'!AC33-1,0)</f>
        <v>-0.1112998157817302</v>
      </c>
      <c r="Y83" s="102">
        <f>IFERROR(Y80/'Monster Consolidated Statements'!AD33-1,0)</f>
        <v>0.15084238599074218</v>
      </c>
      <c r="Z83" s="102">
        <f>IFERROR(Z80/'Monster Consolidated Statements'!AE33-1,0)</f>
        <v>-7.1505367899972194E-3</v>
      </c>
      <c r="AA83" s="102">
        <f>IFERROR(AA80/'Monster Consolidated Statements'!AF33-1,0)</f>
        <v>0.2792543132396359</v>
      </c>
    </row>
    <row r="84" spans="1:27">
      <c r="A84" s="103" t="s">
        <v>198</v>
      </c>
      <c r="B84" s="102">
        <f>IFERROR((1+B83)*('Monster Consolidated Statements'!G42/B81-1),0)</f>
        <v>9.2450102963786834E-3</v>
      </c>
      <c r="C84" s="102">
        <f>IFERROR((1+C83)*('Monster Consolidated Statements'!H42/C81-1),0)</f>
        <v>6.7931758680381329E-3</v>
      </c>
      <c r="D84" s="102">
        <f>IFERROR((1+D83)*('Monster Consolidated Statements'!I42/D81-1),0)</f>
        <v>-2.4062167104160893E-3</v>
      </c>
      <c r="E84" s="102">
        <f>IFERROR((1+E83)*('Monster Consolidated Statements'!J42/E81-1),0)</f>
        <v>-7.701949705375262E-2</v>
      </c>
      <c r="F84" s="102">
        <f>IFERROR((1+F83)*('Monster Consolidated Statements'!K42/F81-1),0)</f>
        <v>-3.0384125882020592</v>
      </c>
      <c r="G84" s="102">
        <f>IFERROR((1+G83)*('Monster Consolidated Statements'!L42/G81-1),0)</f>
        <v>-0.13037276953867993</v>
      </c>
      <c r="H84" s="102">
        <f>IFERROR((1+H83)*('Monster Consolidated Statements'!M42/H81-1),0)</f>
        <v>-3.0390895113430242E-2</v>
      </c>
      <c r="I84" s="102">
        <f>IFERROR((1+I83)*('Monster Consolidated Statements'!N42/I81-1),0)</f>
        <v>-4.4430215104474102E-3</v>
      </c>
      <c r="J84" s="102">
        <f>IFERROR((1+J83)*('Monster Consolidated Statements'!O42/J81-1),0)</f>
        <v>9.0524390664751611E-3</v>
      </c>
      <c r="K84" s="102">
        <f>IFERROR((1+K83)*('Monster Consolidated Statements'!P42/K81-1),0)</f>
        <v>6.5371267127588784E-2</v>
      </c>
      <c r="L84" s="102">
        <f>IFERROR((1+L83)*('Monster Consolidated Statements'!Q42/L81-1),0)</f>
        <v>1.7454415313026876E-2</v>
      </c>
      <c r="M84" s="102">
        <f>IFERROR((1+M83)*('Monster Consolidated Statements'!R42/M81-1),0)</f>
        <v>-0.68000567609455165</v>
      </c>
      <c r="N84" s="102">
        <f>IFERROR((1+N83)*('Monster Consolidated Statements'!S42/N81-1),0)</f>
        <v>2.3471062224112747E-2</v>
      </c>
      <c r="O84" s="102">
        <f>IFERROR((1+O83)*('Monster Consolidated Statements'!T42/O81-1),0)</f>
        <v>5.6935457139378379E-2</v>
      </c>
      <c r="P84" s="102">
        <f>IFERROR((1+P83)*('Monster Consolidated Statements'!U42/P81-1),0)</f>
        <v>-7.1859939125809456E-3</v>
      </c>
      <c r="Q84" s="102">
        <f>IFERROR((1+Q83)*('Monster Consolidated Statements'!V42/Q81-1),0)</f>
        <v>-7.6326173194273525E-2</v>
      </c>
      <c r="R84" s="102">
        <f>IFERROR((1+R83)*('Monster Consolidated Statements'!W42/R81-1),0)</f>
        <v>-1.2620557994955997</v>
      </c>
      <c r="S84" s="102">
        <f>IFERROR((1+S83)*('Monster Consolidated Statements'!X42/S81-1),0)</f>
        <v>4.4233414174094085E-2</v>
      </c>
      <c r="T84" s="102">
        <f>IFERROR((1+T83)*('Monster Consolidated Statements'!Y42/T81-1),0)</f>
        <v>2.7286048956689384E-2</v>
      </c>
      <c r="U84" s="102">
        <f>IFERROR((1+U83)*('Monster Consolidated Statements'!Z42/U81-1),0)</f>
        <v>3.5866464974263587E-2</v>
      </c>
      <c r="V84" s="102">
        <f>IFERROR((1+V83)*('Monster Consolidated Statements'!AA42/V81-1),0)</f>
        <v>2.903774416571801E-2</v>
      </c>
      <c r="W84" s="102">
        <f>IFERROR((1+W83)*('Monster Consolidated Statements'!AB42/W81-1),0)</f>
        <v>-1.4943487987908752E-3</v>
      </c>
      <c r="X84" s="102">
        <f>IFERROR((1+X83)*('Monster Consolidated Statements'!AC42/X81-1),0)</f>
        <v>-0.44233509547036803</v>
      </c>
      <c r="Y84" s="102">
        <f>IFERROR((1+Y83)*('Monster Consolidated Statements'!AD42/Y81-1),0)</f>
        <v>9.2036411125225107E-3</v>
      </c>
      <c r="Z84" s="102">
        <f>IFERROR((1+Z83)*('Monster Consolidated Statements'!AE42/Z81-1),0)</f>
        <v>4.3976723892032776E-2</v>
      </c>
      <c r="AA84" s="102">
        <f>IFERROR((1+AA83)*('Monster Consolidated Statements'!AF42/AA81-1),0)</f>
        <v>3.7237314604988074E-2</v>
      </c>
    </row>
    <row r="85" spans="1:27">
      <c r="A85" s="101" t="s">
        <v>197</v>
      </c>
      <c r="B85" s="100">
        <f t="shared" ref="B85:AA85" si="15">B83+B84</f>
        <v>-7.3691936195466115E-2</v>
      </c>
      <c r="C85" s="100">
        <f t="shared" si="15"/>
        <v>-0.22149175090504186</v>
      </c>
      <c r="D85" s="100">
        <f t="shared" si="15"/>
        <v>4.8540231230485981E-3</v>
      </c>
      <c r="E85" s="100">
        <f t="shared" si="15"/>
        <v>0.88461826046665892</v>
      </c>
      <c r="F85" s="100">
        <f t="shared" si="15"/>
        <v>-0.60075917412818702</v>
      </c>
      <c r="G85" s="100">
        <f t="shared" si="15"/>
        <v>2.0889486958790937</v>
      </c>
      <c r="H85" s="100">
        <f t="shared" si="15"/>
        <v>0.46201472442779629</v>
      </c>
      <c r="I85" s="100">
        <f t="shared" si="15"/>
        <v>0.52090180079503812</v>
      </c>
      <c r="J85" s="100">
        <f t="shared" si="15"/>
        <v>-0.33403953849801354</v>
      </c>
      <c r="K85" s="100">
        <f t="shared" si="15"/>
        <v>1.2084030768804062</v>
      </c>
      <c r="L85" s="100">
        <f t="shared" si="15"/>
        <v>1.8457600783478183E-2</v>
      </c>
      <c r="M85" s="100">
        <f t="shared" si="15"/>
        <v>-0.32458321681108671</v>
      </c>
      <c r="N85" s="100">
        <f t="shared" si="15"/>
        <v>0.22011614303091928</v>
      </c>
      <c r="O85" s="100">
        <f t="shared" si="15"/>
        <v>7.5073669497609588E-2</v>
      </c>
      <c r="P85" s="100">
        <f t="shared" si="15"/>
        <v>0.3874809872167812</v>
      </c>
      <c r="Q85" s="100">
        <f t="shared" si="15"/>
        <v>-0.27312676382908224</v>
      </c>
      <c r="R85" s="100">
        <f t="shared" si="15"/>
        <v>-0.40315672305127626</v>
      </c>
      <c r="S85" s="100">
        <f t="shared" si="15"/>
        <v>0.16994630287022439</v>
      </c>
      <c r="T85" s="100">
        <f t="shared" si="15"/>
        <v>0.22199872591857681</v>
      </c>
      <c r="U85" s="100">
        <f t="shared" si="15"/>
        <v>0.14687727119960237</v>
      </c>
      <c r="V85" s="100">
        <f t="shared" si="15"/>
        <v>0.34499307371704468</v>
      </c>
      <c r="W85" s="100">
        <f t="shared" si="15"/>
        <v>-3.9437261977200905E-2</v>
      </c>
      <c r="X85" s="100">
        <f t="shared" si="15"/>
        <v>-0.55363491125209818</v>
      </c>
      <c r="Y85" s="100">
        <f t="shared" si="15"/>
        <v>0.16004602710326468</v>
      </c>
      <c r="Z85" s="100">
        <f t="shared" si="15"/>
        <v>3.6826187102035557E-2</v>
      </c>
      <c r="AA85" s="100">
        <f t="shared" si="15"/>
        <v>0.31649162784462398</v>
      </c>
    </row>
    <row r="86" spans="1:27">
      <c r="A86" s="101" t="s">
        <v>196</v>
      </c>
      <c r="B86" s="100">
        <f>IFERROR(B82/'Monster Consolidated Statements'!G37-1,0)</f>
        <v>-7.3691936195466212E-2</v>
      </c>
      <c r="C86" s="100">
        <f>IFERROR(C82/'Monster Consolidated Statements'!H37-1,0)</f>
        <v>-0.2214917509050417</v>
      </c>
      <c r="D86" s="100">
        <f>IFERROR(D82/'Monster Consolidated Statements'!I37-1,0)</f>
        <v>4.8540231230482789E-3</v>
      </c>
      <c r="E86" s="100">
        <f>IFERROR(E82/'Monster Consolidated Statements'!J37-1,0)</f>
        <v>0.88461826046665903</v>
      </c>
      <c r="F86" s="100">
        <f>IFERROR(F82/'Monster Consolidated Statements'!K37-1,0)</f>
        <v>-0.6007591741281868</v>
      </c>
      <c r="G86" s="100">
        <f>IFERROR(G82/'Monster Consolidated Statements'!L37-1,0)</f>
        <v>2.0889486958790937</v>
      </c>
      <c r="H86" s="100">
        <f>IFERROR(H82/'Monster Consolidated Statements'!M37-1,0)</f>
        <v>0.46201472442779634</v>
      </c>
      <c r="I86" s="100">
        <f>IFERROR(I82/'Monster Consolidated Statements'!N37-1,0)</f>
        <v>0.52090180079503789</v>
      </c>
      <c r="J86" s="100">
        <f>IFERROR(J82/'Monster Consolidated Statements'!O37-1,0)</f>
        <v>-0.33403953849801349</v>
      </c>
      <c r="K86" s="100">
        <f>IFERROR(K82/'Monster Consolidated Statements'!P37-1,0)</f>
        <v>1.2084030768804062</v>
      </c>
      <c r="L86" s="100">
        <f>IFERROR(L82/'Monster Consolidated Statements'!Q37-1,0)</f>
        <v>1.8457600783477801E-2</v>
      </c>
      <c r="M86" s="100">
        <f>IFERROR(M82/'Monster Consolidated Statements'!R37-1,0)</f>
        <v>-0.32458321681108671</v>
      </c>
      <c r="N86" s="100">
        <f>IFERROR(N82/'Monster Consolidated Statements'!S37-1,0)</f>
        <v>0.22011614303091931</v>
      </c>
      <c r="O86" s="100">
        <f>IFERROR(O82/'Monster Consolidated Statements'!T37-1,0)</f>
        <v>7.5073669497609519E-2</v>
      </c>
      <c r="P86" s="100">
        <f>IFERROR(P82/'Monster Consolidated Statements'!U37-1,0)</f>
        <v>0.38748098721678126</v>
      </c>
      <c r="Q86" s="100">
        <f>IFERROR(Q82/'Monster Consolidated Statements'!V37-1,0)</f>
        <v>-0.2731267638290823</v>
      </c>
      <c r="R86" s="100">
        <f>IFERROR(R82/'Monster Consolidated Statements'!W37-1,0)</f>
        <v>-0.40315672305127626</v>
      </c>
      <c r="S86" s="100">
        <f>IFERROR(S82/'Monster Consolidated Statements'!X37-1,0)</f>
        <v>0.16994630287022416</v>
      </c>
      <c r="T86" s="100">
        <f>IFERROR(T82/'Monster Consolidated Statements'!Y37-1,0)</f>
        <v>0.22199872591857672</v>
      </c>
      <c r="U86" s="100">
        <f>IFERROR(U82/'Monster Consolidated Statements'!Z37-1,0)</f>
        <v>0.14687727119960248</v>
      </c>
      <c r="V86" s="100">
        <f>IFERROR(V82/'Monster Consolidated Statements'!AA37-1,0)</f>
        <v>0.3449930737170448</v>
      </c>
      <c r="W86" s="100">
        <f>IFERROR(W82/'Monster Consolidated Statements'!AB37-1,0)</f>
        <v>-3.9437261977200988E-2</v>
      </c>
      <c r="X86" s="100">
        <f>IFERROR(X82/'Monster Consolidated Statements'!AC37-1,0)</f>
        <v>-0.55363491125209829</v>
      </c>
      <c r="Y86" s="100">
        <f>IFERROR(Y82/'Monster Consolidated Statements'!AD37-1,0)</f>
        <v>0.16004602710326488</v>
      </c>
      <c r="Z86" s="100">
        <f>IFERROR(Z82/'Monster Consolidated Statements'!AE37-1,0)</f>
        <v>3.6826187102035446E-2</v>
      </c>
      <c r="AA86" s="100">
        <f>IFERROR(AA82/'Monster Consolidated Statements'!AF37-1,0)</f>
        <v>0.31649162784462392</v>
      </c>
    </row>
    <row r="87" spans="1:27">
      <c r="A87" s="101" t="s">
        <v>195</v>
      </c>
      <c r="B87" s="100">
        <f t="shared" ref="B87:AA87" si="16">B85-B86</f>
        <v>0</v>
      </c>
      <c r="C87" s="100">
        <f t="shared" si="16"/>
        <v>0</v>
      </c>
      <c r="D87" s="100">
        <f t="shared" si="16"/>
        <v>3.1918911957973251E-16</v>
      </c>
      <c r="E87" s="100">
        <f t="shared" si="16"/>
        <v>0</v>
      </c>
      <c r="F87" s="100">
        <f t="shared" si="16"/>
        <v>0</v>
      </c>
      <c r="G87" s="100">
        <f t="shared" si="16"/>
        <v>0</v>
      </c>
      <c r="H87" s="100">
        <f t="shared" si="16"/>
        <v>0</v>
      </c>
      <c r="I87" s="100">
        <f t="shared" si="16"/>
        <v>0</v>
      </c>
      <c r="J87" s="100">
        <f t="shared" si="16"/>
        <v>0</v>
      </c>
      <c r="K87" s="100">
        <f t="shared" si="16"/>
        <v>0</v>
      </c>
      <c r="L87" s="100">
        <f t="shared" si="16"/>
        <v>3.8163916471489756E-16</v>
      </c>
      <c r="M87" s="100">
        <f t="shared" si="16"/>
        <v>0</v>
      </c>
      <c r="N87" s="100">
        <f t="shared" si="16"/>
        <v>0</v>
      </c>
      <c r="O87" s="100">
        <f t="shared" si="16"/>
        <v>0</v>
      </c>
      <c r="P87" s="100">
        <f t="shared" si="16"/>
        <v>0</v>
      </c>
      <c r="Q87" s="100">
        <f t="shared" si="16"/>
        <v>0</v>
      </c>
      <c r="R87" s="100">
        <f t="shared" si="16"/>
        <v>0</v>
      </c>
      <c r="S87" s="100">
        <f t="shared" si="16"/>
        <v>2.2204460492503131E-16</v>
      </c>
      <c r="T87" s="100">
        <f t="shared" si="16"/>
        <v>0</v>
      </c>
      <c r="U87" s="100">
        <f t="shared" si="16"/>
        <v>0</v>
      </c>
      <c r="V87" s="100">
        <f t="shared" si="16"/>
        <v>0</v>
      </c>
      <c r="W87" s="100">
        <f t="shared" si="16"/>
        <v>8.3266726846886741E-17</v>
      </c>
      <c r="X87" s="100">
        <f t="shared" si="16"/>
        <v>0</v>
      </c>
      <c r="Y87" s="100">
        <f t="shared" si="16"/>
        <v>0</v>
      </c>
      <c r="Z87" s="100">
        <f t="shared" si="16"/>
        <v>1.1102230246251565E-16</v>
      </c>
      <c r="AA87" s="100">
        <f t="shared" si="16"/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Financial Analysis Memo</vt:lpstr>
      <vt:lpstr>Vertical Analysis</vt:lpstr>
      <vt:lpstr>Horizontal Analysis</vt:lpstr>
      <vt:lpstr>Common Size</vt:lpstr>
      <vt:lpstr>Index Analysis</vt:lpstr>
      <vt:lpstr>Financial Ratios</vt:lpstr>
      <vt:lpstr>Investment Analysis (1)</vt:lpstr>
      <vt:lpstr>Monster Consolidated Statements</vt:lpstr>
      <vt:lpstr>Monster Investment Analysis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Simba Choga</cp:lastModifiedBy>
  <dcterms:created xsi:type="dcterms:W3CDTF">2015-06-05T18:17:20Z</dcterms:created>
  <dcterms:modified xsi:type="dcterms:W3CDTF">2026-08-18T14:23:34Z</dcterms:modified>
</cp:coreProperties>
</file>